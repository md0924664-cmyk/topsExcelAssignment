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34eecd2e8c384459/Desktop/tops/Excel_Assessent/"/>
    </mc:Choice>
  </mc:AlternateContent>
  <xr:revisionPtr revIDLastSave="1" documentId="11_587A53901381C0215892BE570AA69C0A9C5D1F23" xr6:coauthVersionLast="47" xr6:coauthVersionMax="47" xr10:uidLastSave="{02910552-FDDA-47D2-8E40-B4982A1FAA84}"/>
  <bookViews>
    <workbookView xWindow="-110" yWindow="-110" windowWidth="19420" windowHeight="10300" firstSheet="4" activeTab="4" xr2:uid="{00000000-000D-0000-FFFF-FFFF00000000}"/>
  </bookViews>
  <sheets>
    <sheet name="Index" sheetId="1" r:id="rId1"/>
    <sheet name="T1_Orders" sheetId="2" r:id="rId2"/>
    <sheet name="Premium Orders" sheetId="3" r:id="rId3"/>
    <sheet name="Restaurants" sheetId="4" r:id="rId4"/>
    <sheet name="Orders" sheetId="5" r:id="rId5"/>
    <sheet name="tblOrders" sheetId="6" r:id="rId6"/>
    <sheet name="Stats Summary" sheetId="7" r:id="rId7"/>
    <sheet name="Zone Stats" sheetId="8" r:id="rId8"/>
    <sheet name="Pivot Check" sheetId="9" r:id="rId9"/>
    <sheet name="Dashboard" sheetId="11" r:id="rId10"/>
    <sheet name="Pivot Guide" sheetId="12" r:id="rId11"/>
  </sheets>
  <definedNames>
    <definedName name="_xlnm.Criteria" localSheetId="1">T1_Orders!$J$3:$L$4</definedName>
    <definedName name="_xlnm.Extract" localSheetId="2">'Premium Orders'!$A$1:$H$1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1" l="1"/>
  <c r="E4" i="11"/>
  <c r="B4" i="11"/>
  <c r="C24" i="9"/>
  <c r="B24" i="9"/>
  <c r="C23" i="9"/>
  <c r="B23" i="9"/>
  <c r="C22" i="9"/>
  <c r="C25" i="9" s="1"/>
  <c r="B22" i="9"/>
  <c r="G18" i="9"/>
  <c r="F18" i="9"/>
  <c r="E18" i="9"/>
  <c r="D18" i="9"/>
  <c r="C18" i="9"/>
  <c r="B18" i="9"/>
  <c r="G17" i="9"/>
  <c r="F17" i="9"/>
  <c r="E17" i="9"/>
  <c r="D17" i="9"/>
  <c r="C17" i="9"/>
  <c r="B17" i="9"/>
  <c r="G16" i="9"/>
  <c r="F16" i="9"/>
  <c r="E16" i="9"/>
  <c r="D16" i="9"/>
  <c r="C16" i="9"/>
  <c r="B16" i="9"/>
  <c r="G15" i="9"/>
  <c r="F15" i="9"/>
  <c r="E15" i="9"/>
  <c r="D15" i="9"/>
  <c r="C15" i="9"/>
  <c r="B15" i="9"/>
  <c r="G14" i="9"/>
  <c r="F14" i="9"/>
  <c r="E14" i="9"/>
  <c r="D14" i="9"/>
  <c r="C14" i="9"/>
  <c r="B14" i="9"/>
  <c r="F9" i="9"/>
  <c r="E9" i="9"/>
  <c r="D9" i="9"/>
  <c r="G9" i="9" s="1"/>
  <c r="C9" i="9"/>
  <c r="B9" i="9"/>
  <c r="F8" i="9"/>
  <c r="E8" i="9"/>
  <c r="D8" i="9"/>
  <c r="C8" i="9"/>
  <c r="B8" i="9"/>
  <c r="G8" i="9" s="1"/>
  <c r="F7" i="9"/>
  <c r="E7" i="9"/>
  <c r="D7" i="9"/>
  <c r="C7" i="9"/>
  <c r="B7" i="9"/>
  <c r="G7" i="9" s="1"/>
  <c r="F6" i="9"/>
  <c r="F10" i="9" s="1"/>
  <c r="E6" i="9"/>
  <c r="E10" i="9" s="1"/>
  <c r="D6" i="9"/>
  <c r="D10" i="9" s="1"/>
  <c r="C6" i="9"/>
  <c r="G6" i="9" s="1"/>
  <c r="B6" i="9"/>
  <c r="B10" i="9" s="1"/>
  <c r="D11" i="8"/>
  <c r="H10" i="8"/>
  <c r="G10" i="8"/>
  <c r="F10" i="8"/>
  <c r="E10" i="8"/>
  <c r="D10" i="8"/>
  <c r="C10" i="8"/>
  <c r="B10" i="8"/>
  <c r="H9" i="8" a="1"/>
  <c r="H9" i="8" s="1"/>
  <c r="G9" i="8" a="1"/>
  <c r="G9" i="8" s="1"/>
  <c r="F9" i="8"/>
  <c r="E9" i="8" a="1"/>
  <c r="E9" i="8" s="1"/>
  <c r="D9" i="8" a="1"/>
  <c r="D9" i="8" s="1"/>
  <c r="C9" i="8"/>
  <c r="I9" i="8" s="1"/>
  <c r="B9" i="8"/>
  <c r="H8" i="8" a="1"/>
  <c r="H8" i="8"/>
  <c r="G8" i="8" a="1"/>
  <c r="G8" i="8"/>
  <c r="F8" i="8"/>
  <c r="E8" i="8" a="1"/>
  <c r="E8" i="8"/>
  <c r="D8" i="8" a="1"/>
  <c r="D8" i="8"/>
  <c r="C8" i="8"/>
  <c r="I8" i="8" s="1"/>
  <c r="B8" i="8"/>
  <c r="H7" i="8" a="1"/>
  <c r="H7" i="8" s="1"/>
  <c r="G7" i="8" a="1"/>
  <c r="G7" i="8" s="1"/>
  <c r="F7" i="8"/>
  <c r="E7" i="8" a="1"/>
  <c r="E7" i="8"/>
  <c r="D7" i="8" a="1"/>
  <c r="D7" i="8" s="1"/>
  <c r="C7" i="8"/>
  <c r="I7" i="8" s="1"/>
  <c r="B7" i="8"/>
  <c r="H6" i="8" a="1"/>
  <c r="H6" i="8" s="1"/>
  <c r="G6" i="8" a="1"/>
  <c r="G6" i="8"/>
  <c r="F6" i="8"/>
  <c r="E6" i="8" a="1"/>
  <c r="E6" i="8"/>
  <c r="D6" i="8" a="1"/>
  <c r="D6" i="8"/>
  <c r="C6" i="8"/>
  <c r="I6" i="8" s="1"/>
  <c r="B6" i="8"/>
  <c r="H5" i="8" a="1"/>
  <c r="H5" i="8"/>
  <c r="G5" i="8" a="1"/>
  <c r="G5" i="8" s="1"/>
  <c r="F5" i="8"/>
  <c r="E5" i="8" a="1"/>
  <c r="E5" i="8"/>
  <c r="D5" i="8" a="1"/>
  <c r="D5" i="8" s="1"/>
  <c r="C5" i="8"/>
  <c r="I5" i="8" s="1"/>
  <c r="B5" i="8"/>
  <c r="B13" i="7"/>
  <c r="B12" i="7"/>
  <c r="B11" i="7"/>
  <c r="B10" i="7"/>
  <c r="B9" i="7"/>
  <c r="B8" i="7"/>
  <c r="B7" i="7"/>
  <c r="B6" i="7"/>
  <c r="B5" i="7"/>
  <c r="B4" i="7"/>
  <c r="K121" i="6"/>
  <c r="J121" i="6"/>
  <c r="K120" i="6"/>
  <c r="J120" i="6"/>
  <c r="K119" i="6"/>
  <c r="J119" i="6"/>
  <c r="K118" i="6"/>
  <c r="J118" i="6"/>
  <c r="K117" i="6"/>
  <c r="J117" i="6"/>
  <c r="K116" i="6"/>
  <c r="J116" i="6"/>
  <c r="K115" i="6"/>
  <c r="J115" i="6"/>
  <c r="K114" i="6"/>
  <c r="J114" i="6"/>
  <c r="K113" i="6"/>
  <c r="J113" i="6"/>
  <c r="K112" i="6"/>
  <c r="J112" i="6"/>
  <c r="K111" i="6"/>
  <c r="J111" i="6"/>
  <c r="K110" i="6"/>
  <c r="J110" i="6"/>
  <c r="K109" i="6"/>
  <c r="J109" i="6"/>
  <c r="K108" i="6"/>
  <c r="J108" i="6"/>
  <c r="K107" i="6"/>
  <c r="J107" i="6"/>
  <c r="K106" i="6"/>
  <c r="J106" i="6"/>
  <c r="K105" i="6"/>
  <c r="J105" i="6"/>
  <c r="K104" i="6"/>
  <c r="J104" i="6"/>
  <c r="K103" i="6"/>
  <c r="J103" i="6"/>
  <c r="K102" i="6"/>
  <c r="J102" i="6"/>
  <c r="K101" i="6"/>
  <c r="J101" i="6"/>
  <c r="K100" i="6"/>
  <c r="J100" i="6"/>
  <c r="K99" i="6"/>
  <c r="J99" i="6"/>
  <c r="K98" i="6"/>
  <c r="J98" i="6"/>
  <c r="K97" i="6"/>
  <c r="J97" i="6"/>
  <c r="K96" i="6"/>
  <c r="J96" i="6"/>
  <c r="K95" i="6"/>
  <c r="J95" i="6"/>
  <c r="K94" i="6"/>
  <c r="J94" i="6"/>
  <c r="K93" i="6"/>
  <c r="J93" i="6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K68" i="6"/>
  <c r="J68" i="6"/>
  <c r="K67" i="6"/>
  <c r="J67" i="6"/>
  <c r="K66" i="6"/>
  <c r="J66" i="6"/>
  <c r="K65" i="6"/>
  <c r="J65" i="6"/>
  <c r="K64" i="6"/>
  <c r="J64" i="6"/>
  <c r="K63" i="6"/>
  <c r="J63" i="6"/>
  <c r="K62" i="6"/>
  <c r="J62" i="6"/>
  <c r="K61" i="6"/>
  <c r="J61" i="6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K38" i="6"/>
  <c r="J38" i="6"/>
  <c r="K37" i="6"/>
  <c r="J37" i="6"/>
  <c r="K36" i="6"/>
  <c r="J36" i="6"/>
  <c r="K35" i="6"/>
  <c r="J35" i="6"/>
  <c r="K34" i="6"/>
  <c r="J34" i="6"/>
  <c r="K33" i="6"/>
  <c r="J33" i="6"/>
  <c r="K32" i="6"/>
  <c r="J32" i="6"/>
  <c r="K31" i="6"/>
  <c r="J31" i="6"/>
  <c r="K30" i="6"/>
  <c r="J30" i="6"/>
  <c r="K29" i="6"/>
  <c r="J29" i="6"/>
  <c r="K28" i="6"/>
  <c r="J28" i="6"/>
  <c r="K27" i="6"/>
  <c r="J27" i="6"/>
  <c r="K26" i="6"/>
  <c r="J26" i="6"/>
  <c r="K25" i="6"/>
  <c r="J25" i="6"/>
  <c r="K24" i="6"/>
  <c r="J24" i="6"/>
  <c r="K23" i="6"/>
  <c r="J23" i="6"/>
  <c r="K22" i="6"/>
  <c r="J22" i="6"/>
  <c r="K21" i="6"/>
  <c r="J21" i="6"/>
  <c r="K20" i="6"/>
  <c r="J20" i="6"/>
  <c r="K19" i="6"/>
  <c r="J19" i="6"/>
  <c r="K18" i="6"/>
  <c r="J18" i="6"/>
  <c r="K17" i="6"/>
  <c r="J17" i="6"/>
  <c r="K16" i="6"/>
  <c r="J16" i="6"/>
  <c r="K15" i="6"/>
  <c r="J15" i="6"/>
  <c r="K14" i="6"/>
  <c r="J14" i="6"/>
  <c r="K13" i="6"/>
  <c r="J13" i="6"/>
  <c r="K12" i="6"/>
  <c r="J12" i="6"/>
  <c r="K11" i="6"/>
  <c r="J11" i="6"/>
  <c r="K10" i="6"/>
  <c r="J10" i="6"/>
  <c r="K9" i="6"/>
  <c r="J9" i="6"/>
  <c r="K8" i="6"/>
  <c r="J8" i="6"/>
  <c r="K7" i="6"/>
  <c r="J7" i="6"/>
  <c r="K6" i="6"/>
  <c r="J6" i="6"/>
  <c r="K5" i="6"/>
  <c r="J5" i="6"/>
  <c r="K4" i="6"/>
  <c r="J4" i="6"/>
  <c r="K3" i="6"/>
  <c r="J3" i="6"/>
  <c r="K2" i="6"/>
  <c r="J2" i="6"/>
  <c r="C36" i="5"/>
  <c r="B36" i="5"/>
  <c r="A30" i="5" a="1"/>
  <c r="A30" i="5" s="1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F3" i="5"/>
  <c r="E3" i="5"/>
  <c r="F2" i="5"/>
  <c r="C35" i="5" s="1"/>
  <c r="E2" i="5"/>
  <c r="G10" i="9" l="1"/>
  <c r="A31" i="5" a="1"/>
  <c r="A31" i="5" s="1"/>
  <c r="C30" i="5"/>
  <c r="B30" i="5"/>
  <c r="B16" i="7"/>
  <c r="B17" i="7" s="1"/>
  <c r="B35" i="5"/>
  <c r="C10" i="9"/>
  <c r="M116" i="6" l="1"/>
  <c r="M68" i="6"/>
  <c r="M60" i="6"/>
  <c r="M52" i="6"/>
  <c r="M4" i="6"/>
  <c r="M113" i="6"/>
  <c r="M105" i="6"/>
  <c r="M57" i="6"/>
  <c r="M49" i="6"/>
  <c r="M41" i="6"/>
  <c r="M118" i="6"/>
  <c r="M110" i="6"/>
  <c r="M102" i="6"/>
  <c r="M54" i="6"/>
  <c r="M46" i="6"/>
  <c r="M38" i="6"/>
  <c r="M107" i="6"/>
  <c r="M99" i="6"/>
  <c r="M91" i="6"/>
  <c r="M43" i="6"/>
  <c r="M35" i="6"/>
  <c r="M27" i="6"/>
  <c r="M104" i="6"/>
  <c r="M96" i="6"/>
  <c r="M88" i="6"/>
  <c r="M40" i="6"/>
  <c r="M32" i="6"/>
  <c r="M24" i="6"/>
  <c r="M109" i="6"/>
  <c r="M101" i="6"/>
  <c r="M93" i="6"/>
  <c r="M29" i="6"/>
  <c r="M21" i="6"/>
  <c r="M13" i="6"/>
  <c r="M82" i="6"/>
  <c r="M74" i="6"/>
  <c r="M66" i="6"/>
  <c r="M18" i="6"/>
  <c r="M10" i="6"/>
  <c r="M2" i="6"/>
  <c r="M79" i="6"/>
  <c r="M71" i="6"/>
  <c r="M63" i="6"/>
  <c r="M15" i="6"/>
  <c r="M7" i="6"/>
  <c r="A33" i="5" a="1"/>
  <c r="A33" i="5" s="1"/>
  <c r="A32" i="5" a="1"/>
  <c r="A32" i="5" s="1"/>
  <c r="A34" i="5" a="1"/>
  <c r="A34" i="5" s="1"/>
  <c r="C31" i="5"/>
  <c r="B31" i="5"/>
  <c r="B18" i="7"/>
  <c r="M108" i="6" s="1"/>
  <c r="C34" i="5" l="1"/>
  <c r="B34" i="5"/>
  <c r="M47" i="6"/>
  <c r="M111" i="6"/>
  <c r="M50" i="6"/>
  <c r="M114" i="6"/>
  <c r="M77" i="6"/>
  <c r="M72" i="6"/>
  <c r="M11" i="6"/>
  <c r="M75" i="6"/>
  <c r="M22" i="6"/>
  <c r="M86" i="6"/>
  <c r="M25" i="6"/>
  <c r="M89" i="6"/>
  <c r="M36" i="6"/>
  <c r="M100" i="6"/>
  <c r="C33" i="5"/>
  <c r="B33" i="5"/>
  <c r="M23" i="6"/>
  <c r="M87" i="6"/>
  <c r="M26" i="6"/>
  <c r="M90" i="6"/>
  <c r="M53" i="6"/>
  <c r="M117" i="6"/>
  <c r="M48" i="6"/>
  <c r="M112" i="6"/>
  <c r="M51" i="6"/>
  <c r="M115" i="6"/>
  <c r="M62" i="6"/>
  <c r="M17" i="6"/>
  <c r="M65" i="6"/>
  <c r="M12" i="6"/>
  <c r="M76" i="6"/>
  <c r="M31" i="6"/>
  <c r="M95" i="6"/>
  <c r="M34" i="6"/>
  <c r="M98" i="6"/>
  <c r="M61" i="6"/>
  <c r="M37" i="6"/>
  <c r="M56" i="6"/>
  <c r="M120" i="6"/>
  <c r="M59" i="6"/>
  <c r="M6" i="6"/>
  <c r="M70" i="6"/>
  <c r="M121" i="6"/>
  <c r="M73" i="6"/>
  <c r="M20" i="6"/>
  <c r="M84" i="6"/>
  <c r="M39" i="6"/>
  <c r="M103" i="6"/>
  <c r="M42" i="6"/>
  <c r="M106" i="6"/>
  <c r="M69" i="6"/>
  <c r="M45" i="6"/>
  <c r="M64" i="6"/>
  <c r="M3" i="6"/>
  <c r="M67" i="6"/>
  <c r="M14" i="6"/>
  <c r="M78" i="6"/>
  <c r="M9" i="6"/>
  <c r="M81" i="6"/>
  <c r="M28" i="6"/>
  <c r="M92" i="6"/>
  <c r="M8" i="6"/>
  <c r="C32" i="5"/>
  <c r="B32" i="5"/>
  <c r="M55" i="6"/>
  <c r="M119" i="6"/>
  <c r="M58" i="6"/>
  <c r="M5" i="6"/>
  <c r="B19" i="7" s="1"/>
  <c r="B20" i="7" s="1"/>
  <c r="M85" i="6"/>
  <c r="M16" i="6"/>
  <c r="M80" i="6"/>
  <c r="M19" i="6"/>
  <c r="M83" i="6"/>
  <c r="M30" i="6"/>
  <c r="M94" i="6"/>
  <c r="M33" i="6"/>
  <c r="M97" i="6"/>
  <c r="M4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Sagar Gupta</author>
  </authors>
  <commentList>
    <comment ref="E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DeliveryTime is in minutes</t>
        </r>
      </text>
    </comment>
    <comment ref="F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Rating is a whole number 1-5</t>
        </r>
      </text>
    </comment>
    <comment ref="G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Revenue is in Rs</t>
        </r>
      </text>
    </comment>
  </commentList>
</comments>
</file>

<file path=xl/sharedStrings.xml><?xml version="1.0" encoding="utf-8"?>
<sst xmlns="http://schemas.openxmlformats.org/spreadsheetml/2006/main" count="1198" uniqueCount="436">
  <si>
    <t>TOPS Technologies - Data Analytics | Assessment M3-A1</t>
  </si>
  <si>
    <t>Submitted by: Sagar Gupta  |  Stack: Microsoft Excel + Python 3  |  Domain: Food delivery</t>
  </si>
  <si>
    <t>Section / Task</t>
  </si>
  <si>
    <t>Sheet(s) in this workbook</t>
  </si>
  <si>
    <t>What is inside</t>
  </si>
  <si>
    <t>Status</t>
  </si>
  <si>
    <t>B - Task 1</t>
  </si>
  <si>
    <t>T1_Orders, Premium Orders</t>
  </si>
  <si>
    <t>40-row orders dataset, 2 data validations, Advanced Filter criteria + output, DeliveryTime colour rules + icon set</t>
  </si>
  <si>
    <t>Complete</t>
  </si>
  <si>
    <t>B - Task 2</t>
  </si>
  <si>
    <t>Restaurants, Orders</t>
  </si>
  <si>
    <t>20 restaurants; XLOOKUP (not-found = 'Not Listed'); INDEX-MATCH for Zone; AVERAGEIF zone summary with dynamic zone names</t>
  </si>
  <si>
    <t>B - Task 3</t>
  </si>
  <si>
    <t>tblOrders, T3_Pivots, Pivot Check</t>
  </si>
  <si>
    <t>tblOrders (Excel Table, 120 rows) is the source. Pivot objects: follow 'Pivot Guide' (Part 1). 'Pivot Check' has formula totals your pivots must match</t>
  </si>
  <si>
    <t>Insert pivots/slicers/timeline in Excel (about 10 min)</t>
  </si>
  <si>
    <t>B - Task 4</t>
  </si>
  <si>
    <t>Stats Summary, tblOrders (Outlier Flag), + .py script</t>
  </si>
  <si>
    <t>QUARTILE.INC / STDEV.S / VAR.S / MODE.SNGL summary, IQR bounds, Outlier Flag column. Python: Sagar_Gupta_M3-A1_Task4_EDA.py</t>
  </si>
  <si>
    <t>C - Capstone</t>
  </si>
  <si>
    <t>tblOrders, Restaurants, Zone Stats, Dashboard</t>
  </si>
  <si>
    <t>Enrichment via XLOOKUP ('Unknown'), Zone Stats (AVERAGEIF + array STDEV), KPI cards, Top 10% rule. Pivots/slicers: 'Pivot Guide' (Part 2)</t>
  </si>
  <si>
    <t>D - AI-augmented</t>
  </si>
  <si>
    <t>(separate files)</t>
  </si>
  <si>
    <t>D1_ai_original_script.py, D2_corrected_script.py, D_test_orders.csv + written note</t>
  </si>
  <si>
    <t>Assumptions &amp; notes</t>
  </si>
  <si>
    <t>1. All data is simulated (random seed fixed in data.py) - no external data sources were used.</t>
  </si>
  <si>
    <t>2. Revenue = order value in Rs. Cancelled orders keep their order value (the spec's KPI formulas sum Revenue without a Status filter).</t>
  </si>
  <si>
    <t>3. DeliveryTime is in minutes. Delayed = DeliveryTime &gt; 45 in the generated data; On-Time KPI uses Delivered AND DeliveryTime &lt;= 40 as the capstone asks.</t>
  </si>
  <si>
    <t>4. tblOrders has an extra helper column 'Orders' (always 1) so the Task 3 calculated field =Revenue/Orders works (SUM of Orders = order count).</t>
  </si>
  <si>
    <t>5. Premium Orders holds the Advanced Filter output as static values (that is how Advanced Filter works). Re-run steps are noted on that sheet.</t>
  </si>
  <si>
    <t>6. Zone / cuisine / restaurant IDs in tblOrders are consistent with the Restaurants sheet (each restaurant belongs to exactly one zone).</t>
  </si>
  <si>
    <t>OrderID</t>
  </si>
  <si>
    <t>CustomerName</t>
  </si>
  <si>
    <t>Cuisine</t>
  </si>
  <si>
    <t>OrderDate</t>
  </si>
  <si>
    <t>DeliveryTime</t>
  </si>
  <si>
    <t>Rating</t>
  </si>
  <si>
    <t>Revenue</t>
  </si>
  <si>
    <t>Advanced Filter criteria range (J3:L4)</t>
  </si>
  <si>
    <t>FD1001</t>
  </si>
  <si>
    <t>Karan Malhotra</t>
  </si>
  <si>
    <t>North Indian</t>
  </si>
  <si>
    <t>Delivered</t>
  </si>
  <si>
    <t>FD1002</t>
  </si>
  <si>
    <t>Kavya Reddy</t>
  </si>
  <si>
    <t>Chinese</t>
  </si>
  <si>
    <t>FD1003</t>
  </si>
  <si>
    <t>Meera Shah</t>
  </si>
  <si>
    <t>South Indian</t>
  </si>
  <si>
    <t>&gt;500</t>
  </si>
  <si>
    <t>&gt;=4</t>
  </si>
  <si>
    <t>FD1004</t>
  </si>
  <si>
    <t>Anjali Verma</t>
  </si>
  <si>
    <t>Fast Food</t>
  </si>
  <si>
    <t>FD1005</t>
  </si>
  <si>
    <t>Siddharth Rao</t>
  </si>
  <si>
    <t>Italian</t>
  </si>
  <si>
    <t>Colour rule for DeliveryTime (min): green &lt;= 30, amber 31-45, red &gt; 45 (fill rules + traffic-light icon set).</t>
  </si>
  <si>
    <t>FD1006</t>
  </si>
  <si>
    <t>Aarav Sharma</t>
  </si>
  <si>
    <t>Units: DeliveryTime = minutes, Rating = 1-5, Revenue = Rs.</t>
  </si>
  <si>
    <t>FD1007</t>
  </si>
  <si>
    <t>FD1008</t>
  </si>
  <si>
    <t>Riya Chauhan</t>
  </si>
  <si>
    <t>Cancelled</t>
  </si>
  <si>
    <t>FD1009</t>
  </si>
  <si>
    <t>Manish Yadav</t>
  </si>
  <si>
    <t>FD1010</t>
  </si>
  <si>
    <t>FD1011</t>
  </si>
  <si>
    <t>Pooja Nair</t>
  </si>
  <si>
    <t>FD1012</t>
  </si>
  <si>
    <t>FD1013</t>
  </si>
  <si>
    <t>Priya Patel</t>
  </si>
  <si>
    <t>Delayed</t>
  </si>
  <si>
    <t>FD1014</t>
  </si>
  <si>
    <t>FD1015</t>
  </si>
  <si>
    <t>FD1016</t>
  </si>
  <si>
    <t>Amit Desai</t>
  </si>
  <si>
    <t>FD1017</t>
  </si>
  <si>
    <t>FD1018</t>
  </si>
  <si>
    <t>Arjun Kapoor</t>
  </si>
  <si>
    <t>FD1019</t>
  </si>
  <si>
    <t>Sneha Iyer</t>
  </si>
  <si>
    <t>FD1020</t>
  </si>
  <si>
    <t>Rohan Mehta</t>
  </si>
  <si>
    <t>FD1021</t>
  </si>
  <si>
    <t>FD1022</t>
  </si>
  <si>
    <t>FD1023</t>
  </si>
  <si>
    <t>Vikram Singh</t>
  </si>
  <si>
    <t>FD1024</t>
  </si>
  <si>
    <t>FD1025</t>
  </si>
  <si>
    <t>FD1026</t>
  </si>
  <si>
    <t>FD1027</t>
  </si>
  <si>
    <t>Rahul Joshi</t>
  </si>
  <si>
    <t>FD1028</t>
  </si>
  <si>
    <t>FD1029</t>
  </si>
  <si>
    <t>FD1030</t>
  </si>
  <si>
    <t>FD1031</t>
  </si>
  <si>
    <t>FD1032</t>
  </si>
  <si>
    <t>FD1033</t>
  </si>
  <si>
    <t>Neha Gupta</t>
  </si>
  <si>
    <t>FD1034</t>
  </si>
  <si>
    <t>FD1035</t>
  </si>
  <si>
    <t>FD1036</t>
  </si>
  <si>
    <t>FD1037</t>
  </si>
  <si>
    <t>FD1038</t>
  </si>
  <si>
    <t>FD1039</t>
  </si>
  <si>
    <t>FD1040</t>
  </si>
  <si>
    <t>Advanced Filter output</t>
  </si>
  <si>
    <t>Rule: Status = 'Delivered' AND Revenue &gt; 500 AND Rating &gt;= 4</t>
  </si>
  <si>
    <t>List range: T1_Orders!$A$1:$H$41   |   Criteria range: T1_Orders!$J$3:$L$4   |   Copy to: 'Premium Orders'!$A$1:$H$1</t>
  </si>
  <si>
    <t>To re-run: select a cell in 'Premium Orders', Data &gt; Advanced &gt; 'Copy to another location', then enter the three ranges above.</t>
  </si>
  <si>
    <t>Rows returned: 15  (values are static - that is how Advanced Filter output works)</t>
  </si>
  <si>
    <t>RestaurantID</t>
  </si>
  <si>
    <t>RestaurantName</t>
  </si>
  <si>
    <t>Zone</t>
  </si>
  <si>
    <t>Category</t>
  </si>
  <si>
    <t>AvgRating</t>
  </si>
  <si>
    <t>R001</t>
  </si>
  <si>
    <t>Tandoori Tales</t>
  </si>
  <si>
    <t>North</t>
  </si>
  <si>
    <t>Dine-in</t>
  </si>
  <si>
    <t>R002</t>
  </si>
  <si>
    <t>Wok This Way</t>
  </si>
  <si>
    <t>Cloud Kitchen</t>
  </si>
  <si>
    <t>R003</t>
  </si>
  <si>
    <t>Burger Barn</t>
  </si>
  <si>
    <t>QSR</t>
  </si>
  <si>
    <t>R004</t>
  </si>
  <si>
    <t>Dosa Dynasty</t>
  </si>
  <si>
    <t>R005</t>
  </si>
  <si>
    <t>Curry Leaf Kitchen</t>
  </si>
  <si>
    <t>South</t>
  </si>
  <si>
    <t>R006</t>
  </si>
  <si>
    <t>Noodle Nest</t>
  </si>
  <si>
    <t>R007</t>
  </si>
  <si>
    <t>Punjabi Dhaba Express</t>
  </si>
  <si>
    <t>R008</t>
  </si>
  <si>
    <t>Pizza Plaza</t>
  </si>
  <si>
    <t>R009</t>
  </si>
  <si>
    <t>Masala Mantra</t>
  </si>
  <si>
    <t>East</t>
  </si>
  <si>
    <t>R010</t>
  </si>
  <si>
    <t>Dragon Bowl</t>
  </si>
  <si>
    <t>R011</t>
  </si>
  <si>
    <t>Idli Express</t>
  </si>
  <si>
    <t>R012</t>
  </si>
  <si>
    <t>Crispy Crunch</t>
  </si>
  <si>
    <t>R013</t>
  </si>
  <si>
    <t>Royal Biryani House</t>
  </si>
  <si>
    <t>West</t>
  </si>
  <si>
    <t>R014</t>
  </si>
  <si>
    <t>Chopstick Corner</t>
  </si>
  <si>
    <t>R015</t>
  </si>
  <si>
    <t>Filter Coffee &amp; Meals</t>
  </si>
  <si>
    <t>R016</t>
  </si>
  <si>
    <t>Wrap &amp; Roll</t>
  </si>
  <si>
    <t>R017</t>
  </si>
  <si>
    <t>Kebab Kingdom</t>
  </si>
  <si>
    <t>Central</t>
  </si>
  <si>
    <t>R018</t>
  </si>
  <si>
    <t>Noodle Station</t>
  </si>
  <si>
    <t>R019</t>
  </si>
  <si>
    <t>Sambar Spot</t>
  </si>
  <si>
    <t>R020</t>
  </si>
  <si>
    <t>Fries &amp; Fizz</t>
  </si>
  <si>
    <t>Column notes</t>
  </si>
  <si>
    <t>ORD-2001</t>
  </si>
  <si>
    <t>E: XLOOKUP(lookup_value, lookup_array, return_array, 'Not Listed', 0)  -&gt; unmatched IDs show 'Not Listed' (rows with R099 and R105)</t>
  </si>
  <si>
    <t>ORD-2002</t>
  </si>
  <si>
    <t>F: INDEX(Zone range, MATCH(RestaurantID, ID range, 0))  -&gt; two-function nested lookup, wrapped in IFERROR for unmatched IDs</t>
  </si>
  <si>
    <t>ORD-2003</t>
  </si>
  <si>
    <t>ORD-2004</t>
  </si>
  <si>
    <t>ORD-2005</t>
  </si>
  <si>
    <t>ORD-2006</t>
  </si>
  <si>
    <t>ORD-2007</t>
  </si>
  <si>
    <t>R099</t>
  </si>
  <si>
    <t>ORD-2008</t>
  </si>
  <si>
    <t>ORD-2009</t>
  </si>
  <si>
    <t>ORD-2010</t>
  </si>
  <si>
    <t>ORD-2011</t>
  </si>
  <si>
    <t>ORD-2012</t>
  </si>
  <si>
    <t>ORD-2013</t>
  </si>
  <si>
    <t>ORD-2014</t>
  </si>
  <si>
    <t>ORD-2015</t>
  </si>
  <si>
    <t>ORD-2016</t>
  </si>
  <si>
    <t>ORD-2017</t>
  </si>
  <si>
    <t>ORD-2018</t>
  </si>
  <si>
    <t>R105</t>
  </si>
  <si>
    <t>ORD-2019</t>
  </si>
  <si>
    <t>ORD-2020</t>
  </si>
  <si>
    <t>ORD-2021</t>
  </si>
  <si>
    <t>ORD-2022</t>
  </si>
  <si>
    <t>ORD-2023</t>
  </si>
  <si>
    <t>ORD-2024</t>
  </si>
  <si>
    <t>Average Revenue by Zone (AVERAGEIF; zone names pulled from the Restaurants sheet)</t>
  </si>
  <si>
    <t>Avg Revenue (Rs)</t>
  </si>
  <si>
    <t>Orders</t>
  </si>
  <si>
    <t>Not Listed</t>
  </si>
  <si>
    <t>All orders</t>
  </si>
  <si>
    <t>Outlier Flag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</si>
  <si>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</si>
  <si>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</si>
  <si>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</si>
  <si>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</si>
  <si>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</si>
  <si>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</si>
  <si>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</si>
  <si>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</si>
  <si>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</si>
  <si>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</si>
  <si>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</si>
  <si>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</si>
  <si>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</si>
  <si>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</si>
  <si>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</si>
  <si>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</si>
  <si>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</si>
  <si>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</si>
  <si>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</si>
  <si>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</si>
  <si>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</si>
  <si>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</si>
  <si>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</si>
  <si>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</si>
  <si>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</si>
  <si>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</si>
  <si>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</si>
  <si>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</si>
  <si>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</si>
  <si>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</si>
  <si>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</si>
  <si>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</si>
  <si>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</si>
  <si>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</si>
  <si>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</si>
  <si>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</si>
  <si>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</si>
  <si>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</si>
  <si>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</si>
  <si>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</si>
  <si>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</si>
  <si>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</si>
  <si>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</si>
  <si>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</si>
  <si>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</si>
  <si>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</si>
  <si>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</si>
  <si>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</si>
  <si>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</si>
  <si>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</si>
  <si>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</si>
  <si>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</si>
  <si>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</si>
  <si>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</si>
  <si>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</si>
  <si>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</si>
  <si>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</si>
  <si>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</si>
  <si>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</si>
  <si>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</si>
  <si>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</si>
  <si>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</si>
  <si>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</si>
  <si>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</si>
  <si>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</si>
  <si>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</si>
  <si>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</si>
  <si>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</si>
  <si>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</si>
  <si>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</si>
  <si>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</si>
  <si>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</si>
  <si>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</si>
  <si>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</si>
  <si>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</si>
  <si>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</si>
  <si>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</si>
  <si>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</si>
  <si>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</si>
  <si>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</si>
  <si>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</si>
  <si>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</si>
  <si>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</si>
  <si>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</si>
  <si>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</si>
  <si>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</si>
  <si>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</si>
  <si>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</si>
  <si>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</si>
  <si>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</si>
  <si>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</si>
  <si>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</si>
  <si>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</si>
  <si>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</si>
  <si>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</si>
  <si>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</si>
  <si>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</si>
  <si>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</si>
  <si>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</si>
  <si>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</si>
  <si>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</si>
  <si>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</si>
  <si>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</si>
  <si>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</si>
  <si>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</si>
  <si>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</si>
  <si>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</si>
  <si>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</si>
  <si>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</si>
  <si>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</si>
  <si>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</si>
  <si>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</si>
  <si>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</si>
  <si>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</si>
  <si>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</si>
  <si>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</si>
  <si>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</si>
  <si>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</si>
  <si>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</si>
  <si>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</si>
  <si>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Task 4 - DeliveryTime: descriptive statistics &amp; IQR outlier rule</t>
  </si>
  <si>
    <t>Source: tblOrders[DeliveryTime] (minutes). All values are live formulas.</t>
  </si>
  <si>
    <t>Statistic</t>
  </si>
  <si>
    <t>Value</t>
  </si>
  <si>
    <t>Excel function</t>
  </si>
  <si>
    <t>Count</t>
  </si>
  <si>
    <t>COUNT</t>
  </si>
  <si>
    <t>Mean</t>
  </si>
  <si>
    <t>AVERAGE</t>
  </si>
  <si>
    <t>Median</t>
  </si>
  <si>
    <t>MEDIAN</t>
  </si>
  <si>
    <t>Mode</t>
  </si>
  <si>
    <t>MODE.SNGL</t>
  </si>
  <si>
    <t>Standard Deviation</t>
  </si>
  <si>
    <t>STDEV.S</t>
  </si>
  <si>
    <t>Variance</t>
  </si>
  <si>
    <t>VAR.S</t>
  </si>
  <si>
    <t>Minimum</t>
  </si>
  <si>
    <t>MIN</t>
  </si>
  <si>
    <t>Maximum</t>
  </si>
  <si>
    <t>MAX</t>
  </si>
  <si>
    <t>25th percentile (Q1)</t>
  </si>
  <si>
    <t>QUARTILE.INC(range,1)</t>
  </si>
  <si>
    <t>75th percentile (Q3)</t>
  </si>
  <si>
    <t>QUARTILE.INC(range,3)</t>
  </si>
  <si>
    <t>IQR outlier rule</t>
  </si>
  <si>
    <t>IQR (Q3 - Q1)</t>
  </si>
  <si>
    <t>Q3 - Q1</t>
  </si>
  <si>
    <t>Lower bound</t>
  </si>
  <si>
    <t>Q1 - 1.5 x IQR</t>
  </si>
  <si>
    <t>Upper bound</t>
  </si>
  <si>
    <t>Q3 + 1.5 x IQR</t>
  </si>
  <si>
    <t>Outliers flagged ('Yes')</t>
  </si>
  <si>
    <t>COUNTIF on Outlier Flag column</t>
  </si>
  <si>
    <t>Outlier share of orders</t>
  </si>
  <si>
    <t>flagged / count</t>
  </si>
  <si>
    <t>'Outlier Flag' column (tblOrders, column M) = IF(DeliveryTime &lt; lower bound OR DeliveryTime &gt; upper bound, "Yes", "No").</t>
  </si>
  <si>
    <t>Capstone - Zone Stats</t>
  </si>
  <si>
    <t>Mean via AVERAGEIF; Median and Standard Deviation via array formulas (MEDIAN(IF()) / STDEV.S(IF())).</t>
  </si>
  <si>
    <t>Mean DeliveryTime (min)</t>
  </si>
  <si>
    <t>Median DeliveryTime (min)</t>
  </si>
  <si>
    <t>StdDev DeliveryTime (min)</t>
  </si>
  <si>
    <t>Mean Revenue (Rs)</t>
  </si>
  <si>
    <t>Median Revenue (Rs)</t>
  </si>
  <si>
    <t>StdDev Revenue (Rs)</t>
  </si>
  <si>
    <t>Avg DeliveryTime vs overall median</t>
  </si>
  <si>
    <t>All zones</t>
  </si>
  <si>
    <t>Overall median DeliveryTime (min)</t>
  </si>
  <si>
    <t>Flag rule: a zone is flagged when its AVERAGE DeliveryTime is greater than the MEDIAN DeliveryTime of all orders (D11).</t>
  </si>
  <si>
    <t>Pivot Check - formula totals your PivotTables must match</t>
  </si>
  <si>
    <t>Built with SUMIFS / COUNTIFS on tblOrders, so these are not pivots; they are the answer key for Task 3.</t>
  </si>
  <si>
    <t>1) Revenue (SUM) by Cuisine x Zone</t>
  </si>
  <si>
    <t>Grand Total</t>
  </si>
  <si>
    <t>2) AvgRevenuePerOrder = SUM(Revenue) / SUM(Orders) by Cuisine x Zone</t>
  </si>
  <si>
    <t>3) Order count by Month and Quarter</t>
  </si>
  <si>
    <t>Month</t>
  </si>
  <si>
    <t>Quarter</t>
  </si>
  <si>
    <t>Order Count</t>
  </si>
  <si>
    <t>Food Delivery Operations Dashboard</t>
  </si>
  <si>
    <t>Jul-Sep 2026  |  Source: tblOrders  |  Refresh with Data &gt; Refresh All after appending new rows</t>
  </si>
  <si>
    <t>Total Revenue</t>
  </si>
  <si>
    <t>Average Customer Rating</t>
  </si>
  <si>
    <t>On-Time Delivery %</t>
  </si>
  <si>
    <t>Interactive Pivot Dashboard</t>
  </si>
  <si>
    <t>Pivot (a): Revenue by Cuisine x Zone -&gt; insert at B9</t>
  </si>
  <si>
    <t>Zone Slicer + Timeline go here (connect both to pivots (a) and (b))</t>
  </si>
  <si>
    <t>Pivot (b): Order Count by Month -&gt; insert at B24</t>
  </si>
  <si>
    <t>KPI notes: On-Time % = COUNTIFS(Status='Delivered', DeliveryTime&lt;=40) / total rows. Top 10% revenue orders are highlighted green in tblOrders[Revenue].</t>
  </si>
  <si>
    <t>Pivot Guide - exact steps for the objects that must be inserted inside Excel</t>
  </si>
  <si>
    <t>Part 1 = Task 3 (sheet T3_Pivots). Part 2 = Capstone (sheet Dashboard). Always build from the table name tblOrders, never a cell range.</t>
  </si>
  <si>
    <t>Step</t>
  </si>
  <si>
    <t>Item</t>
  </si>
  <si>
    <t>What to do</t>
  </si>
  <si>
    <t>PART 1</t>
  </si>
  <si>
    <t>Task 3</t>
  </si>
  <si>
    <t>1</t>
  </si>
  <si>
    <t>Pivot Table 1</t>
  </si>
  <si>
    <t>Click any cell in tblOrders &gt; Insert &gt; PivotTable &gt; Table/Range = tblOrders &gt; Existing Worksheet = T3_Pivots!$B$6 &gt; OK.</t>
  </si>
  <si>
    <t>2</t>
  </si>
  <si>
    <t>Layout</t>
  </si>
  <si>
    <t>Rows = Cuisine | Columns = Zone | Values = Revenue (Sum) | Filters = Status. PivotTable Design &gt; Grand Totals &gt; On for Rows and Columns.</t>
  </si>
  <si>
    <t>3</t>
  </si>
  <si>
    <t>Calculated Field</t>
  </si>
  <si>
    <t>PivotTable Analyze &gt; Fields, Items &amp; Sets &gt; Calculated Field &gt; Name = AvgRevenuePerOrder | Formula = =Revenue/Orders &gt; Add &gt; OK. 'Orders' is the helper column (always 1), so SUM(Orders) = order count. Now Sum of Revenue and Sum of AvgRevenuePerOrder sit side by side.</t>
  </si>
  <si>
    <t>4</t>
  </si>
  <si>
    <t>Pivot Table 2</t>
  </si>
  <si>
    <t>Insert &gt; PivotTable &gt; tblOrders &gt; Existing Worksheet = T3_Pivots!$B$26. Rows = OrderDate | Values = Count of OrderID (rename 'Order Count').</t>
  </si>
  <si>
    <t>5</t>
  </si>
  <si>
    <t>Group dates</t>
  </si>
  <si>
    <t>Right-click any date in Pivot 2 &gt; Group &gt; select Months and Quarters &gt; OK (this gives Quarters &gt; Months).</t>
  </si>
  <si>
    <t>6</t>
  </si>
  <si>
    <t>Timeline</t>
  </si>
  <si>
    <t>Click Pivot 2 &gt; PivotTable Analyze &gt; Insert Timeline &gt; tick OrderDate &gt; OK. Drag the bar to filter by date.</t>
  </si>
  <si>
    <t>7</t>
  </si>
  <si>
    <t>Pivot Chart</t>
  </si>
  <si>
    <t>Click Pivot 1 &gt; PivotTable Analyze &gt; PivotChart &gt; Bar &gt; Clustered Bar &gt; OK. It is linked to Pivot 1 automatically.</t>
  </si>
  <si>
    <t>8</t>
  </si>
  <si>
    <t>Cuisine Slicer</t>
  </si>
  <si>
    <t>Click Pivot 1 &gt; PivotTable Analyze &gt; Insert Slicer &gt; tick Cuisine &gt; OK. One slicer filters Pivot 1 and its Pivot Chart together.</t>
  </si>
  <si>
    <t>9</t>
  </si>
  <si>
    <t>Check</t>
  </si>
  <si>
    <t>Compare Pivot 1 totals with 'Pivot Check' tables 1 and 2, and Pivot 2 with table 3 (should match exactly).</t>
  </si>
  <si>
    <t>PART 2</t>
  </si>
  <si>
    <t>Capstone Dashboard</t>
  </si>
  <si>
    <t>Pivot (a)</t>
  </si>
  <si>
    <t>Insert &gt; PivotTable &gt; tblOrders &gt; Existing Worksheet = Dashboard!$B$9. Rows = Cuisine | Columns = Zone | Values = Sum of Revenue.</t>
  </si>
  <si>
    <t>Pivot (b)</t>
  </si>
  <si>
    <t>Insert &gt; PivotTable &gt; tblOrders (Excel re-uses the same cache) &gt; Dashboard!$B$24. Rows = OrderDate grouped by Months | Values = Count of OrderID.</t>
  </si>
  <si>
    <t>Zone Slicer</t>
  </si>
  <si>
    <t>Click Pivot (a) &gt; Insert Slicer &gt; Zone. Right-click the slicer &gt; Report Connections &gt; tick BOTH pivots &gt; OK.</t>
  </si>
  <si>
    <t>Click Pivot (a) &gt; Insert Timeline &gt; OrderDate. Right-click &gt; Report Connections &gt; tick BOTH pivots.</t>
  </si>
  <si>
    <t>Refresh</t>
  </si>
  <si>
    <t>After appending new rows under tblOrders: Data &gt; Refresh All. KPI cards and Zone Stats update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</si>
</sst>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dd\-mmm\-yyyy"/>
    <numFmt numFmtId="166" formatCode="0.0"/>
    <numFmt numFmtId="167" formatCode="0.0%"/>
    <numFmt numFmtId="168" formatCode="#,##0.0"/>
    <numFmt numFmtId="169" formatCode="mmm\ yyyy"/>
    <numFmt numFmtId="170" formatCode="&quot;Rs &quot;#,##0"/>
  </numFmts>
  <fonts count="14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10"/>
      <color rgb="FF595959"/>
      <name val="Arial"/>
    </font>
    <font>
      <sz val="10"/>
      <name val="Arial"/>
    </font>
    <font>
      <b/>
      <sz val="10"/>
      <color rgb="FFFFFFFF"/>
      <name val="Arial"/>
    </font>
    <font>
      <b/>
      <sz val="10"/>
      <color rgb="FF1F3864"/>
      <name val="Arial"/>
    </font>
    <font>
      <b/>
      <sz val="10"/>
      <name val="Arial"/>
    </font>
    <font>
      <sz val="10"/>
      <color rgb="FF595959"/>
      <name val="Arial"/>
    </font>
    <font>
      <sz val="10"/>
      <color rgb="FF000000"/>
      <name val="Arial"/>
    </font>
    <font>
      <b/>
      <sz val="16"/>
      <color rgb="FF1F3864"/>
      <name val="Arial"/>
    </font>
    <font>
      <b/>
      <sz val="11"/>
      <color rgb="FFFFFFFF"/>
      <name val="Arial"/>
    </font>
    <font>
      <b/>
      <sz val="18"/>
      <color rgb="FF1F3864"/>
      <name val="Arial"/>
    </font>
    <font>
      <b/>
      <sz val="12"/>
      <color rgb="FF1F3864"/>
      <name val="Arial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F5597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3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5" fillId="0" borderId="0" xfId="0" applyFont="1"/>
    <xf numFmtId="0" fontId="3" fillId="0" borderId="0" xfId="0" applyFont="1"/>
    <xf numFmtId="0" fontId="3" fillId="0" borderId="1" xfId="0" applyFont="1" applyBorder="1"/>
    <xf numFmtId="165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/>
    <xf numFmtId="0" fontId="6" fillId="0" borderId="0" xfId="0" applyFont="1"/>
    <xf numFmtId="0" fontId="7" fillId="0" borderId="0" xfId="0" applyFont="1"/>
    <xf numFmtId="166" fontId="3" fillId="0" borderId="1" xfId="0" applyNumberFormat="1" applyFont="1" applyBorder="1"/>
    <xf numFmtId="4" fontId="3" fillId="0" borderId="1" xfId="0" applyNumberFormat="1" applyFont="1" applyBorder="1"/>
    <xf numFmtId="0" fontId="6" fillId="0" borderId="1" xfId="0" applyFont="1" applyBorder="1"/>
    <xf numFmtId="4" fontId="6" fillId="0" borderId="1" xfId="0" applyNumberFormat="1" applyFont="1" applyBorder="1"/>
    <xf numFmtId="165" fontId="3" fillId="0" borderId="0" xfId="0" applyNumberFormat="1" applyFont="1"/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8" fillId="0" borderId="1" xfId="0" applyFont="1" applyBorder="1"/>
    <xf numFmtId="1" fontId="8" fillId="0" borderId="1" xfId="0" applyNumberFormat="1" applyFont="1" applyBorder="1"/>
    <xf numFmtId="0" fontId="7" fillId="0" borderId="1" xfId="0" applyFont="1" applyBorder="1"/>
    <xf numFmtId="2" fontId="8" fillId="0" borderId="1" xfId="0" applyNumberFormat="1" applyFont="1" applyBorder="1"/>
    <xf numFmtId="167" fontId="8" fillId="0" borderId="1" xfId="0" applyNumberFormat="1" applyFont="1" applyBorder="1"/>
    <xf numFmtId="168" fontId="3" fillId="0" borderId="1" xfId="0" applyNumberFormat="1" applyFont="1" applyBorder="1"/>
    <xf numFmtId="168" fontId="6" fillId="0" borderId="1" xfId="0" applyNumberFormat="1" applyFont="1" applyBorder="1"/>
    <xf numFmtId="166" fontId="6" fillId="0" borderId="0" xfId="0" applyNumberFormat="1" applyFont="1"/>
    <xf numFmtId="0" fontId="6" fillId="3" borderId="1" xfId="0" applyFont="1" applyFill="1" applyBorder="1"/>
    <xf numFmtId="3" fontId="6" fillId="3" borderId="1" xfId="0" applyNumberFormat="1" applyFont="1" applyFill="1" applyBorder="1"/>
    <xf numFmtId="169" fontId="3" fillId="0" borderId="1" xfId="0" applyNumberFormat="1" applyFont="1" applyBorder="1"/>
    <xf numFmtId="0" fontId="9" fillId="0" borderId="0" xfId="0" applyFont="1"/>
    <xf numFmtId="0" fontId="12" fillId="0" borderId="0" xfId="0" applyFont="1"/>
    <xf numFmtId="0" fontId="6" fillId="5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2" fontId="11" fillId="5" borderId="0" xfId="0" applyNumberFormat="1" applyFont="1" applyFill="1" applyAlignment="1">
      <alignment horizontal="center" vertical="center"/>
    </xf>
    <xf numFmtId="0" fontId="13" fillId="5" borderId="0" xfId="0" applyFont="1" applyFill="1"/>
    <xf numFmtId="0" fontId="10" fillId="4" borderId="0" xfId="0" applyFont="1" applyFill="1" applyAlignment="1">
      <alignment horizontal="center"/>
    </xf>
    <xf numFmtId="0" fontId="13" fillId="4" borderId="0" xfId="0" applyFont="1" applyFill="1"/>
    <xf numFmtId="167" fontId="11" fillId="5" borderId="0" xfId="0" applyNumberFormat="1" applyFont="1" applyFill="1" applyAlignment="1">
      <alignment horizontal="center" vertical="center"/>
    </xf>
    <xf numFmtId="170" fontId="11" fillId="5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7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estaurants" displayName="tblRestaurants" ref="A1:E21">
  <autoFilter ref="A1:E21" xr:uid="{00000000-0009-0000-0100-000001000000}"/>
  <tableColumns count="5">
    <tableColumn id="1" xr3:uid="{00000000-0010-0000-0000-000001000000}" name="RestaurantID"/>
    <tableColumn id="2" xr3:uid="{00000000-0010-0000-0000-000002000000}" name="RestaurantName"/>
    <tableColumn id="3" xr3:uid="{00000000-0010-0000-0000-000003000000}" name="Zone"/>
    <tableColumn id="4" xr3:uid="{00000000-0010-0000-0000-000004000000}" name="Category"/>
    <tableColumn id="5" xr3:uid="{00000000-0010-0000-0000-000005000000}" name="AvgRa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Orders" displayName="tblOrders" ref="A1:M121">
  <autoFilter ref="A1:M121" xr:uid="{00000000-0009-0000-0100-000002000000}"/>
  <tableColumns count="13">
    <tableColumn id="1" xr3:uid="{00000000-0010-0000-0100-000001000000}" name="OrderID"/>
    <tableColumn id="2" xr3:uid="{00000000-0010-0000-0100-000002000000}" name="RestaurantID"/>
    <tableColumn id="3" xr3:uid="{00000000-0010-0000-0100-000003000000}" name="Cuisine"/>
    <tableColumn id="4" xr3:uid="{00000000-0010-0000-0100-000004000000}" name="Zone"/>
    <tableColumn id="5" xr3:uid="{00000000-0010-0000-0100-000005000000}" name="OrderDate"/>
    <tableColumn id="6" xr3:uid="{00000000-0010-0000-0100-000006000000}" name="DeliveryTime"/>
    <tableColumn id="7" xr3:uid="{00000000-0010-0000-0100-000007000000}" name="Rating"/>
    <tableColumn id="8" xr3:uid="{00000000-0010-0000-0100-000008000000}" name="Revenue"/>
    <tableColumn id="9" xr3:uid="{00000000-0010-0000-0100-000009000000}" name="Status"/>
    <tableColumn id="10" xr3:uid="{00000000-0010-0000-0100-00000A000000}" name="RestaurantName"/>
    <tableColumn id="11" xr3:uid="{00000000-0010-0000-0100-00000B000000}" name="Category"/>
    <tableColumn id="12" xr3:uid="{00000000-0010-0000-0100-00000C000000}" name="Orders"/>
    <tableColumn id="13" xr3:uid="{00000000-0010-0000-0100-00000D000000}" name="Outlier 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opLeftCell="B6" workbookViewId="0">
      <selection activeCell="C8" sqref="C8"/>
    </sheetView>
  </sheetViews>
  <sheetFormatPr defaultRowHeight="14.5" x14ac:dyDescent="0.35"/>
  <cols>
    <col min="1" max="1" width="22" customWidth="1"/>
    <col min="2" max="2" width="36" customWidth="1"/>
    <col min="3" max="3" width="90" customWidth="1"/>
    <col min="4" max="4" width="34" customWidth="1"/>
  </cols>
  <sheetData>
    <row r="1" spans="1:4" ht="18" x14ac:dyDescent="0.4">
      <c r="A1" s="1" t="s">
        <v>0</v>
      </c>
      <c r="B1" s="2"/>
      <c r="C1" s="2"/>
      <c r="D1" s="2"/>
    </row>
    <row r="2" spans="1:4" x14ac:dyDescent="0.35">
      <c r="A2" s="3" t="s">
        <v>1</v>
      </c>
      <c r="B2" s="2"/>
      <c r="C2" s="2"/>
      <c r="D2" s="2"/>
    </row>
    <row r="3" spans="1:4" x14ac:dyDescent="0.35">
      <c r="A3" s="2"/>
      <c r="B3" s="2"/>
      <c r="C3" s="2"/>
      <c r="D3" s="2"/>
    </row>
    <row r="4" spans="1:4" x14ac:dyDescent="0.35">
      <c r="A4" s="35" t="s">
        <v>2</v>
      </c>
      <c r="B4" s="4" t="s">
        <v>3</v>
      </c>
      <c r="C4" s="4" t="s">
        <v>4</v>
      </c>
      <c r="D4" s="4" t="s">
        <v>5</v>
      </c>
    </row>
    <row r="5" spans="1:4" ht="42" customHeight="1" x14ac:dyDescent="0.35">
      <c r="A5" s="5" t="s">
        <v>6</v>
      </c>
      <c r="B5" s="5" t="s">
        <v>7</v>
      </c>
      <c r="C5" s="5" t="s">
        <v>8</v>
      </c>
      <c r="D5" s="5" t="s">
        <v>9</v>
      </c>
    </row>
    <row r="6" spans="1:4" ht="42" customHeight="1" x14ac:dyDescent="0.35">
      <c r="A6" s="5" t="s">
        <v>10</v>
      </c>
      <c r="B6" s="5" t="s">
        <v>11</v>
      </c>
      <c r="C6" s="5" t="s">
        <v>12</v>
      </c>
      <c r="D6" s="5" t="s">
        <v>9</v>
      </c>
    </row>
    <row r="7" spans="1:4" ht="42" customHeight="1" x14ac:dyDescent="0.35">
      <c r="A7" s="5" t="s">
        <v>13</v>
      </c>
      <c r="B7" s="5" t="s">
        <v>14</v>
      </c>
      <c r="C7" s="5" t="s">
        <v>15</v>
      </c>
      <c r="D7" s="5" t="s">
        <v>16</v>
      </c>
    </row>
    <row r="8" spans="1:4" ht="42" customHeight="1" x14ac:dyDescent="0.35">
      <c r="A8" s="5" t="s">
        <v>17</v>
      </c>
      <c r="B8" s="5" t="s">
        <v>18</v>
      </c>
      <c r="C8" s="5" t="s">
        <v>19</v>
      </c>
      <c r="D8" s="5" t="s">
        <v>9</v>
      </c>
    </row>
    <row r="9" spans="1:4" ht="42" customHeight="1" x14ac:dyDescent="0.35">
      <c r="A9" s="5" t="s">
        <v>20</v>
      </c>
      <c r="B9" s="5" t="s">
        <v>21</v>
      </c>
      <c r="C9" s="5" t="s">
        <v>22</v>
      </c>
      <c r="D9" s="5" t="s">
        <v>16</v>
      </c>
    </row>
    <row r="10" spans="1:4" ht="42" customHeight="1" x14ac:dyDescent="0.35">
      <c r="A10" s="5" t="s">
        <v>23</v>
      </c>
      <c r="B10" s="5" t="s">
        <v>24</v>
      </c>
      <c r="C10" s="5" t="s">
        <v>25</v>
      </c>
      <c r="D10" s="5" t="s">
        <v>9</v>
      </c>
    </row>
    <row r="11" spans="1:4" x14ac:dyDescent="0.35">
      <c r="A11" s="2"/>
      <c r="B11" s="2"/>
      <c r="C11" s="2"/>
      <c r="D11" s="2"/>
    </row>
    <row r="12" spans="1:4" x14ac:dyDescent="0.35">
      <c r="A12" s="6" t="s">
        <v>26</v>
      </c>
      <c r="B12" s="2"/>
      <c r="C12" s="2"/>
      <c r="D12" s="2"/>
    </row>
    <row r="13" spans="1:4" x14ac:dyDescent="0.35">
      <c r="A13" s="7" t="s">
        <v>27</v>
      </c>
      <c r="B13" s="2"/>
      <c r="C13" s="2"/>
      <c r="D13" s="2"/>
    </row>
    <row r="14" spans="1:4" x14ac:dyDescent="0.35">
      <c r="A14" s="7" t="s">
        <v>28</v>
      </c>
      <c r="B14" s="2"/>
      <c r="C14" s="2"/>
      <c r="D14" s="2"/>
    </row>
    <row r="15" spans="1:4" x14ac:dyDescent="0.35">
      <c r="A15" s="7" t="s">
        <v>29</v>
      </c>
      <c r="B15" s="2"/>
      <c r="C15" s="2"/>
      <c r="D15" s="2"/>
    </row>
    <row r="16" spans="1:4" x14ac:dyDescent="0.35">
      <c r="A16" s="7" t="s">
        <v>30</v>
      </c>
      <c r="B16" s="2"/>
      <c r="C16" s="2"/>
      <c r="D16" s="2"/>
    </row>
    <row r="17" spans="1:4" x14ac:dyDescent="0.35">
      <c r="A17" s="7" t="s">
        <v>31</v>
      </c>
      <c r="B17" s="2"/>
      <c r="C17" s="2"/>
      <c r="D17" s="2"/>
    </row>
    <row r="18" spans="1:4" x14ac:dyDescent="0.35">
      <c r="A18" s="7" t="s">
        <v>32</v>
      </c>
      <c r="B18" s="2"/>
      <c r="C18" s="2"/>
      <c r="D18" s="2"/>
    </row>
  </sheetData>
  <mergeCells count="1">
    <mergeCell ref="A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1"/>
  <sheetViews>
    <sheetView workbookViewId="0">
      <pane ySplit="1" topLeftCell="A2" activePane="bottomLeft" state="frozen"/>
      <selection pane="bottomLeft" activeCell="E4" sqref="E4"/>
    </sheetView>
  </sheetViews>
  <sheetFormatPr defaultRowHeight="14.5" x14ac:dyDescent="0.35"/>
  <cols>
    <col min="1" max="1" width="10" customWidth="1"/>
    <col min="2" max="2" width="18" customWidth="1"/>
    <col min="3" max="3" width="15" customWidth="1"/>
    <col min="4" max="5" width="13" customWidth="1"/>
    <col min="6" max="6" width="8" customWidth="1"/>
    <col min="7" max="7" width="10" customWidth="1"/>
    <col min="8" max="8" width="11" customWidth="1"/>
    <col min="9" max="9" width="3" customWidth="1"/>
    <col min="10" max="10" width="13" customWidth="1"/>
    <col min="11" max="11" width="12" customWidth="1"/>
    <col min="12" max="12" width="10" customWidth="1"/>
  </cols>
  <sheetData>
    <row r="1" spans="1:12" x14ac:dyDescent="0.35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5</v>
      </c>
      <c r="I1" s="2"/>
      <c r="J1" s="6" t="s">
        <v>40</v>
      </c>
      <c r="K1" s="2"/>
      <c r="L1" s="2"/>
    </row>
    <row r="2" spans="1:12" x14ac:dyDescent="0.35">
      <c r="A2" s="8" t="s">
        <v>41</v>
      </c>
      <c r="B2" s="8" t="s">
        <v>42</v>
      </c>
      <c r="C2" s="8" t="s">
        <v>43</v>
      </c>
      <c r="D2" s="9">
        <v>46235</v>
      </c>
      <c r="E2" s="10">
        <v>24</v>
      </c>
      <c r="F2" s="10">
        <v>5</v>
      </c>
      <c r="G2" s="11">
        <v>180</v>
      </c>
      <c r="H2" s="8" t="s">
        <v>44</v>
      </c>
      <c r="I2" s="2"/>
      <c r="J2" s="2"/>
      <c r="K2" s="2"/>
      <c r="L2" s="2"/>
    </row>
    <row r="3" spans="1:12" x14ac:dyDescent="0.35">
      <c r="A3" s="8" t="s">
        <v>45</v>
      </c>
      <c r="B3" s="8" t="s">
        <v>46</v>
      </c>
      <c r="C3" s="8" t="s">
        <v>47</v>
      </c>
      <c r="D3" s="9">
        <v>46237</v>
      </c>
      <c r="E3" s="10">
        <v>25</v>
      </c>
      <c r="F3" s="10">
        <v>4</v>
      </c>
      <c r="G3" s="11">
        <v>230</v>
      </c>
      <c r="H3" s="8" t="s">
        <v>44</v>
      </c>
      <c r="I3" s="2"/>
      <c r="J3" s="4" t="s">
        <v>5</v>
      </c>
      <c r="K3" s="4" t="s">
        <v>39</v>
      </c>
      <c r="L3" s="4" t="s">
        <v>38</v>
      </c>
    </row>
    <row r="4" spans="1:12" x14ac:dyDescent="0.35">
      <c r="A4" s="8" t="s">
        <v>48</v>
      </c>
      <c r="B4" s="8" t="s">
        <v>49</v>
      </c>
      <c r="C4" s="8" t="s">
        <v>50</v>
      </c>
      <c r="D4" s="9">
        <v>46238</v>
      </c>
      <c r="E4" s="10">
        <v>34</v>
      </c>
      <c r="F4" s="10">
        <v>4</v>
      </c>
      <c r="G4" s="11">
        <v>580</v>
      </c>
      <c r="H4" s="8" t="s">
        <v>44</v>
      </c>
      <c r="I4" s="2"/>
      <c r="J4" s="12" t="s">
        <v>44</v>
      </c>
      <c r="K4" s="12" t="s">
        <v>51</v>
      </c>
      <c r="L4" s="12" t="s">
        <v>52</v>
      </c>
    </row>
    <row r="5" spans="1:12" x14ac:dyDescent="0.35">
      <c r="A5" s="8" t="s">
        <v>53</v>
      </c>
      <c r="B5" s="8" t="s">
        <v>54</v>
      </c>
      <c r="C5" s="8" t="s">
        <v>55</v>
      </c>
      <c r="D5" s="9">
        <v>46239</v>
      </c>
      <c r="E5" s="10">
        <v>42</v>
      </c>
      <c r="F5" s="10">
        <v>4</v>
      </c>
      <c r="G5" s="11">
        <v>810</v>
      </c>
      <c r="H5" s="8" t="s">
        <v>44</v>
      </c>
      <c r="I5" s="2"/>
      <c r="J5" s="2"/>
      <c r="K5" s="2"/>
      <c r="L5" s="2"/>
    </row>
    <row r="6" spans="1:12" x14ac:dyDescent="0.35">
      <c r="A6" s="8" t="s">
        <v>56</v>
      </c>
      <c r="B6" s="8" t="s">
        <v>57</v>
      </c>
      <c r="C6" s="8" t="s">
        <v>58</v>
      </c>
      <c r="D6" s="9">
        <v>46239</v>
      </c>
      <c r="E6" s="10">
        <v>32</v>
      </c>
      <c r="F6" s="10">
        <v>5</v>
      </c>
      <c r="G6" s="11">
        <v>830</v>
      </c>
      <c r="H6" s="8" t="s">
        <v>44</v>
      </c>
      <c r="I6" s="2"/>
      <c r="J6" s="3" t="s">
        <v>59</v>
      </c>
      <c r="K6" s="2"/>
      <c r="L6" s="2"/>
    </row>
    <row r="7" spans="1:12" x14ac:dyDescent="0.35">
      <c r="A7" s="8" t="s">
        <v>60</v>
      </c>
      <c r="B7" s="8" t="s">
        <v>61</v>
      </c>
      <c r="C7" s="8" t="s">
        <v>43</v>
      </c>
      <c r="D7" s="9">
        <v>46239</v>
      </c>
      <c r="E7" s="10">
        <v>20</v>
      </c>
      <c r="F7" s="10">
        <v>5</v>
      </c>
      <c r="G7" s="11">
        <v>200</v>
      </c>
      <c r="H7" s="8" t="s">
        <v>44</v>
      </c>
      <c r="I7" s="2"/>
      <c r="J7" s="3" t="s">
        <v>62</v>
      </c>
      <c r="K7" s="2"/>
      <c r="L7" s="2"/>
    </row>
    <row r="8" spans="1:12" x14ac:dyDescent="0.35">
      <c r="A8" s="8" t="s">
        <v>63</v>
      </c>
      <c r="B8" s="8" t="s">
        <v>61</v>
      </c>
      <c r="C8" s="8" t="s">
        <v>47</v>
      </c>
      <c r="D8" s="9">
        <v>46239</v>
      </c>
      <c r="E8" s="10">
        <v>35</v>
      </c>
      <c r="F8" s="10">
        <v>5</v>
      </c>
      <c r="G8" s="11">
        <v>720</v>
      </c>
      <c r="H8" s="8" t="s">
        <v>44</v>
      </c>
      <c r="I8" s="2"/>
      <c r="J8" s="2"/>
      <c r="K8" s="2"/>
      <c r="L8" s="2"/>
    </row>
    <row r="9" spans="1:12" x14ac:dyDescent="0.35">
      <c r="A9" s="8" t="s">
        <v>64</v>
      </c>
      <c r="B9" s="8" t="s">
        <v>65</v>
      </c>
      <c r="C9" s="8" t="s">
        <v>50</v>
      </c>
      <c r="D9" s="9">
        <v>46239</v>
      </c>
      <c r="E9" s="10">
        <v>41</v>
      </c>
      <c r="F9" s="10">
        <v>1</v>
      </c>
      <c r="G9" s="11">
        <v>250</v>
      </c>
      <c r="H9" s="8" t="s">
        <v>66</v>
      </c>
      <c r="I9" s="2"/>
      <c r="J9" s="2"/>
      <c r="K9" s="2"/>
      <c r="L9" s="2"/>
    </row>
    <row r="10" spans="1:12" x14ac:dyDescent="0.35">
      <c r="A10" s="8" t="s">
        <v>67</v>
      </c>
      <c r="B10" s="8" t="s">
        <v>68</v>
      </c>
      <c r="C10" s="8" t="s">
        <v>55</v>
      </c>
      <c r="D10" s="9">
        <v>46242</v>
      </c>
      <c r="E10" s="10">
        <v>41</v>
      </c>
      <c r="F10" s="10">
        <v>3</v>
      </c>
      <c r="G10" s="11">
        <v>570</v>
      </c>
      <c r="H10" s="8" t="s">
        <v>44</v>
      </c>
      <c r="I10" s="2"/>
      <c r="J10" s="2"/>
      <c r="K10" s="2"/>
      <c r="L10" s="2"/>
    </row>
    <row r="11" spans="1:12" x14ac:dyDescent="0.35">
      <c r="A11" s="8" t="s">
        <v>69</v>
      </c>
      <c r="B11" s="8" t="s">
        <v>61</v>
      </c>
      <c r="C11" s="8" t="s">
        <v>58</v>
      </c>
      <c r="D11" s="9">
        <v>46243</v>
      </c>
      <c r="E11" s="10">
        <v>31</v>
      </c>
      <c r="F11" s="10">
        <v>5</v>
      </c>
      <c r="G11" s="11">
        <v>570</v>
      </c>
      <c r="H11" s="8" t="s">
        <v>44</v>
      </c>
      <c r="I11" s="2"/>
      <c r="J11" s="2"/>
      <c r="K11" s="2"/>
      <c r="L11" s="2"/>
    </row>
    <row r="12" spans="1:12" x14ac:dyDescent="0.35">
      <c r="A12" s="8" t="s">
        <v>70</v>
      </c>
      <c r="B12" s="8" t="s">
        <v>71</v>
      </c>
      <c r="C12" s="8" t="s">
        <v>43</v>
      </c>
      <c r="D12" s="9">
        <v>46245</v>
      </c>
      <c r="E12" s="10">
        <v>24</v>
      </c>
      <c r="F12" s="10">
        <v>5</v>
      </c>
      <c r="G12" s="11">
        <v>610</v>
      </c>
      <c r="H12" s="8" t="s">
        <v>44</v>
      </c>
      <c r="I12" s="2"/>
      <c r="J12" s="2"/>
      <c r="K12" s="2"/>
      <c r="L12" s="2"/>
    </row>
    <row r="13" spans="1:12" x14ac:dyDescent="0.35">
      <c r="A13" s="8" t="s">
        <v>72</v>
      </c>
      <c r="B13" s="8" t="s">
        <v>49</v>
      </c>
      <c r="C13" s="8" t="s">
        <v>47</v>
      </c>
      <c r="D13" s="9">
        <v>46246</v>
      </c>
      <c r="E13" s="10">
        <v>28</v>
      </c>
      <c r="F13" s="10">
        <v>5</v>
      </c>
      <c r="G13" s="11">
        <v>660</v>
      </c>
      <c r="H13" s="8" t="s">
        <v>44</v>
      </c>
      <c r="I13" s="2"/>
      <c r="J13" s="2"/>
      <c r="K13" s="2"/>
      <c r="L13" s="2"/>
    </row>
    <row r="14" spans="1:12" x14ac:dyDescent="0.35">
      <c r="A14" s="8" t="s">
        <v>73</v>
      </c>
      <c r="B14" s="8" t="s">
        <v>74</v>
      </c>
      <c r="C14" s="8" t="s">
        <v>50</v>
      </c>
      <c r="D14" s="9">
        <v>46247</v>
      </c>
      <c r="E14" s="10">
        <v>48</v>
      </c>
      <c r="F14" s="10">
        <v>5</v>
      </c>
      <c r="G14" s="11">
        <v>220</v>
      </c>
      <c r="H14" s="8" t="s">
        <v>75</v>
      </c>
      <c r="I14" s="2"/>
      <c r="J14" s="2"/>
      <c r="K14" s="2"/>
      <c r="L14" s="2"/>
    </row>
    <row r="15" spans="1:12" x14ac:dyDescent="0.35">
      <c r="A15" s="8" t="s">
        <v>76</v>
      </c>
      <c r="B15" s="8" t="s">
        <v>71</v>
      </c>
      <c r="C15" s="8" t="s">
        <v>55</v>
      </c>
      <c r="D15" s="9">
        <v>46248</v>
      </c>
      <c r="E15" s="10">
        <v>44</v>
      </c>
      <c r="F15" s="10">
        <v>3</v>
      </c>
      <c r="G15" s="11">
        <v>900</v>
      </c>
      <c r="H15" s="8" t="s">
        <v>44</v>
      </c>
      <c r="I15" s="2"/>
      <c r="J15" s="2"/>
      <c r="K15" s="2"/>
      <c r="L15" s="2"/>
    </row>
    <row r="16" spans="1:12" x14ac:dyDescent="0.35">
      <c r="A16" s="8" t="s">
        <v>77</v>
      </c>
      <c r="B16" s="8" t="s">
        <v>54</v>
      </c>
      <c r="C16" s="8" t="s">
        <v>58</v>
      </c>
      <c r="D16" s="9">
        <v>46249</v>
      </c>
      <c r="E16" s="10">
        <v>20</v>
      </c>
      <c r="F16" s="10">
        <v>5</v>
      </c>
      <c r="G16" s="11">
        <v>220</v>
      </c>
      <c r="H16" s="8" t="s">
        <v>44</v>
      </c>
      <c r="I16" s="2"/>
      <c r="J16" s="2"/>
      <c r="K16" s="2"/>
      <c r="L16" s="2"/>
    </row>
    <row r="17" spans="1:12" x14ac:dyDescent="0.35">
      <c r="A17" s="8" t="s">
        <v>78</v>
      </c>
      <c r="B17" s="8" t="s">
        <v>79</v>
      </c>
      <c r="C17" s="8" t="s">
        <v>43</v>
      </c>
      <c r="D17" s="9">
        <v>46250</v>
      </c>
      <c r="E17" s="10">
        <v>31</v>
      </c>
      <c r="F17" s="10">
        <v>1</v>
      </c>
      <c r="G17" s="11">
        <v>1020</v>
      </c>
      <c r="H17" s="8" t="s">
        <v>66</v>
      </c>
      <c r="I17" s="2"/>
      <c r="J17" s="2"/>
      <c r="K17" s="2"/>
      <c r="L17" s="2"/>
    </row>
    <row r="18" spans="1:12" x14ac:dyDescent="0.35">
      <c r="A18" s="8" t="s">
        <v>80</v>
      </c>
      <c r="B18" s="8" t="s">
        <v>42</v>
      </c>
      <c r="C18" s="8" t="s">
        <v>47</v>
      </c>
      <c r="D18" s="9">
        <v>46250</v>
      </c>
      <c r="E18" s="10">
        <v>56</v>
      </c>
      <c r="F18" s="10">
        <v>3</v>
      </c>
      <c r="G18" s="11">
        <v>680</v>
      </c>
      <c r="H18" s="8" t="s">
        <v>75</v>
      </c>
      <c r="I18" s="2"/>
      <c r="J18" s="2"/>
      <c r="K18" s="2"/>
      <c r="L18" s="2"/>
    </row>
    <row r="19" spans="1:12" x14ac:dyDescent="0.35">
      <c r="A19" s="8" t="s">
        <v>81</v>
      </c>
      <c r="B19" s="8" t="s">
        <v>82</v>
      </c>
      <c r="C19" s="8" t="s">
        <v>50</v>
      </c>
      <c r="D19" s="9">
        <v>46250</v>
      </c>
      <c r="E19" s="10">
        <v>51</v>
      </c>
      <c r="F19" s="10">
        <v>4</v>
      </c>
      <c r="G19" s="11">
        <v>330</v>
      </c>
      <c r="H19" s="8" t="s">
        <v>75</v>
      </c>
      <c r="I19" s="2"/>
      <c r="J19" s="2"/>
      <c r="K19" s="2"/>
      <c r="L19" s="2"/>
    </row>
    <row r="20" spans="1:12" x14ac:dyDescent="0.35">
      <c r="A20" s="8" t="s">
        <v>83</v>
      </c>
      <c r="B20" s="8" t="s">
        <v>84</v>
      </c>
      <c r="C20" s="8" t="s">
        <v>55</v>
      </c>
      <c r="D20" s="9">
        <v>46250</v>
      </c>
      <c r="E20" s="10">
        <v>37</v>
      </c>
      <c r="F20" s="10">
        <v>4</v>
      </c>
      <c r="G20" s="11">
        <v>580</v>
      </c>
      <c r="H20" s="8" t="s">
        <v>44</v>
      </c>
      <c r="I20" s="2"/>
      <c r="J20" s="2"/>
      <c r="K20" s="2"/>
      <c r="L20" s="2"/>
    </row>
    <row r="21" spans="1:12" x14ac:dyDescent="0.35">
      <c r="A21" s="8" t="s">
        <v>85</v>
      </c>
      <c r="B21" s="8" t="s">
        <v>86</v>
      </c>
      <c r="C21" s="8" t="s">
        <v>58</v>
      </c>
      <c r="D21" s="9">
        <v>46251</v>
      </c>
      <c r="E21" s="10">
        <v>37</v>
      </c>
      <c r="F21" s="10">
        <v>4</v>
      </c>
      <c r="G21" s="11">
        <v>250</v>
      </c>
      <c r="H21" s="8" t="s">
        <v>44</v>
      </c>
      <c r="I21" s="2"/>
      <c r="J21" s="2"/>
      <c r="K21" s="2"/>
      <c r="L21" s="2"/>
    </row>
    <row r="22" spans="1:12" x14ac:dyDescent="0.35">
      <c r="A22" s="8" t="s">
        <v>87</v>
      </c>
      <c r="B22" s="8" t="s">
        <v>86</v>
      </c>
      <c r="C22" s="8" t="s">
        <v>43</v>
      </c>
      <c r="D22" s="9">
        <v>46251</v>
      </c>
      <c r="E22" s="10">
        <v>29</v>
      </c>
      <c r="F22" s="10">
        <v>4</v>
      </c>
      <c r="G22" s="11">
        <v>940</v>
      </c>
      <c r="H22" s="8" t="s">
        <v>44</v>
      </c>
      <c r="I22" s="2"/>
      <c r="J22" s="2"/>
      <c r="K22" s="2"/>
      <c r="L22" s="2"/>
    </row>
    <row r="23" spans="1:12" x14ac:dyDescent="0.35">
      <c r="A23" s="8" t="s">
        <v>88</v>
      </c>
      <c r="B23" s="8" t="s">
        <v>86</v>
      </c>
      <c r="C23" s="8" t="s">
        <v>47</v>
      </c>
      <c r="D23" s="9">
        <v>46252</v>
      </c>
      <c r="E23" s="10">
        <v>40</v>
      </c>
      <c r="F23" s="10">
        <v>4</v>
      </c>
      <c r="G23" s="11">
        <v>380</v>
      </c>
      <c r="H23" s="8" t="s">
        <v>44</v>
      </c>
      <c r="I23" s="2"/>
      <c r="J23" s="2"/>
      <c r="K23" s="2"/>
      <c r="L23" s="2"/>
    </row>
    <row r="24" spans="1:12" x14ac:dyDescent="0.35">
      <c r="A24" s="8" t="s">
        <v>89</v>
      </c>
      <c r="B24" s="8" t="s">
        <v>90</v>
      </c>
      <c r="C24" s="8" t="s">
        <v>50</v>
      </c>
      <c r="D24" s="9">
        <v>46253</v>
      </c>
      <c r="E24" s="10">
        <v>18</v>
      </c>
      <c r="F24" s="10">
        <v>5</v>
      </c>
      <c r="G24" s="11">
        <v>350</v>
      </c>
      <c r="H24" s="8" t="s">
        <v>44</v>
      </c>
      <c r="I24" s="2"/>
      <c r="J24" s="2"/>
      <c r="K24" s="2"/>
      <c r="L24" s="2"/>
    </row>
    <row r="25" spans="1:12" x14ac:dyDescent="0.35">
      <c r="A25" s="8" t="s">
        <v>91</v>
      </c>
      <c r="B25" s="8" t="s">
        <v>57</v>
      </c>
      <c r="C25" s="8" t="s">
        <v>55</v>
      </c>
      <c r="D25" s="9">
        <v>46253</v>
      </c>
      <c r="E25" s="10">
        <v>41</v>
      </c>
      <c r="F25" s="10">
        <v>4</v>
      </c>
      <c r="G25" s="11">
        <v>400</v>
      </c>
      <c r="H25" s="8" t="s">
        <v>44</v>
      </c>
      <c r="I25" s="2"/>
      <c r="J25" s="2"/>
      <c r="K25" s="2"/>
      <c r="L25" s="2"/>
    </row>
    <row r="26" spans="1:12" x14ac:dyDescent="0.35">
      <c r="A26" s="8" t="s">
        <v>92</v>
      </c>
      <c r="B26" s="8" t="s">
        <v>74</v>
      </c>
      <c r="C26" s="8" t="s">
        <v>58</v>
      </c>
      <c r="D26" s="9">
        <v>46254</v>
      </c>
      <c r="E26" s="10">
        <v>36</v>
      </c>
      <c r="F26" s="10">
        <v>5</v>
      </c>
      <c r="G26" s="11">
        <v>390</v>
      </c>
      <c r="H26" s="8" t="s">
        <v>44</v>
      </c>
      <c r="I26" s="2"/>
      <c r="J26" s="2"/>
      <c r="K26" s="2"/>
      <c r="L26" s="2"/>
    </row>
    <row r="27" spans="1:12" x14ac:dyDescent="0.35">
      <c r="A27" s="8" t="s">
        <v>93</v>
      </c>
      <c r="B27" s="8" t="s">
        <v>86</v>
      </c>
      <c r="C27" s="8" t="s">
        <v>43</v>
      </c>
      <c r="D27" s="9">
        <v>46255</v>
      </c>
      <c r="E27" s="10">
        <v>38</v>
      </c>
      <c r="F27" s="10">
        <v>3</v>
      </c>
      <c r="G27" s="11">
        <v>710</v>
      </c>
      <c r="H27" s="8" t="s">
        <v>44</v>
      </c>
      <c r="I27" s="2"/>
      <c r="J27" s="2"/>
      <c r="K27" s="2"/>
      <c r="L27" s="2"/>
    </row>
    <row r="28" spans="1:12" x14ac:dyDescent="0.35">
      <c r="A28" s="8" t="s">
        <v>94</v>
      </c>
      <c r="B28" s="8" t="s">
        <v>95</v>
      </c>
      <c r="C28" s="8" t="s">
        <v>47</v>
      </c>
      <c r="D28" s="9">
        <v>46255</v>
      </c>
      <c r="E28" s="10">
        <v>28</v>
      </c>
      <c r="F28" s="10">
        <v>5</v>
      </c>
      <c r="G28" s="11">
        <v>720</v>
      </c>
      <c r="H28" s="8" t="s">
        <v>44</v>
      </c>
      <c r="I28" s="2"/>
      <c r="J28" s="2"/>
      <c r="K28" s="2"/>
      <c r="L28" s="2"/>
    </row>
    <row r="29" spans="1:12" x14ac:dyDescent="0.35">
      <c r="A29" s="8" t="s">
        <v>96</v>
      </c>
      <c r="B29" s="8" t="s">
        <v>82</v>
      </c>
      <c r="C29" s="8" t="s">
        <v>50</v>
      </c>
      <c r="D29" s="9">
        <v>46257</v>
      </c>
      <c r="E29" s="10">
        <v>45</v>
      </c>
      <c r="F29" s="10">
        <v>4</v>
      </c>
      <c r="G29" s="11">
        <v>330</v>
      </c>
      <c r="H29" s="8" t="s">
        <v>44</v>
      </c>
      <c r="I29" s="2"/>
      <c r="J29" s="2"/>
      <c r="K29" s="2"/>
      <c r="L29" s="2"/>
    </row>
    <row r="30" spans="1:12" x14ac:dyDescent="0.35">
      <c r="A30" s="8" t="s">
        <v>97</v>
      </c>
      <c r="B30" s="8" t="s">
        <v>46</v>
      </c>
      <c r="C30" s="8" t="s">
        <v>55</v>
      </c>
      <c r="D30" s="9">
        <v>46258</v>
      </c>
      <c r="E30" s="10">
        <v>29</v>
      </c>
      <c r="F30" s="10">
        <v>5</v>
      </c>
      <c r="G30" s="11">
        <v>540</v>
      </c>
      <c r="H30" s="8" t="s">
        <v>44</v>
      </c>
      <c r="I30" s="2"/>
      <c r="J30" s="2"/>
      <c r="K30" s="2"/>
      <c r="L30" s="2"/>
    </row>
    <row r="31" spans="1:12" x14ac:dyDescent="0.35">
      <c r="A31" s="8" t="s">
        <v>98</v>
      </c>
      <c r="B31" s="8" t="s">
        <v>68</v>
      </c>
      <c r="C31" s="8" t="s">
        <v>58</v>
      </c>
      <c r="D31" s="9">
        <v>46259</v>
      </c>
      <c r="E31" s="10">
        <v>30</v>
      </c>
      <c r="F31" s="10">
        <v>5</v>
      </c>
      <c r="G31" s="11">
        <v>540</v>
      </c>
      <c r="H31" s="8" t="s">
        <v>44</v>
      </c>
      <c r="I31" s="2"/>
      <c r="J31" s="2"/>
      <c r="K31" s="2"/>
      <c r="L31" s="2"/>
    </row>
    <row r="32" spans="1:12" x14ac:dyDescent="0.35">
      <c r="A32" s="8" t="s">
        <v>99</v>
      </c>
      <c r="B32" s="8" t="s">
        <v>46</v>
      </c>
      <c r="C32" s="8" t="s">
        <v>43</v>
      </c>
      <c r="D32" s="9">
        <v>46259</v>
      </c>
      <c r="E32" s="10">
        <v>46</v>
      </c>
      <c r="F32" s="10">
        <v>4</v>
      </c>
      <c r="G32" s="11">
        <v>330</v>
      </c>
      <c r="H32" s="8" t="s">
        <v>75</v>
      </c>
      <c r="I32" s="2"/>
      <c r="J32" s="2"/>
      <c r="K32" s="2"/>
      <c r="L32" s="2"/>
    </row>
    <row r="33" spans="1:12" x14ac:dyDescent="0.35">
      <c r="A33" s="8" t="s">
        <v>100</v>
      </c>
      <c r="B33" s="8" t="s">
        <v>54</v>
      </c>
      <c r="C33" s="8" t="s">
        <v>47</v>
      </c>
      <c r="D33" s="9">
        <v>46260</v>
      </c>
      <c r="E33" s="10">
        <v>56</v>
      </c>
      <c r="F33" s="10">
        <v>4</v>
      </c>
      <c r="G33" s="11">
        <v>1200</v>
      </c>
      <c r="H33" s="8" t="s">
        <v>75</v>
      </c>
      <c r="I33" s="2"/>
      <c r="J33" s="2"/>
      <c r="K33" s="2"/>
      <c r="L33" s="2"/>
    </row>
    <row r="34" spans="1:12" x14ac:dyDescent="0.35">
      <c r="A34" s="8" t="s">
        <v>101</v>
      </c>
      <c r="B34" s="8" t="s">
        <v>102</v>
      </c>
      <c r="C34" s="8" t="s">
        <v>50</v>
      </c>
      <c r="D34" s="9">
        <v>46261</v>
      </c>
      <c r="E34" s="10">
        <v>57</v>
      </c>
      <c r="F34" s="10">
        <v>4</v>
      </c>
      <c r="G34" s="11">
        <v>600</v>
      </c>
      <c r="H34" s="8" t="s">
        <v>75</v>
      </c>
      <c r="I34" s="2"/>
      <c r="J34" s="2"/>
      <c r="K34" s="2"/>
      <c r="L34" s="2"/>
    </row>
    <row r="35" spans="1:12" x14ac:dyDescent="0.35">
      <c r="A35" s="8" t="s">
        <v>103</v>
      </c>
      <c r="B35" s="8" t="s">
        <v>54</v>
      </c>
      <c r="C35" s="8" t="s">
        <v>55</v>
      </c>
      <c r="D35" s="9">
        <v>46261</v>
      </c>
      <c r="E35" s="10">
        <v>40</v>
      </c>
      <c r="F35" s="10">
        <v>4</v>
      </c>
      <c r="G35" s="11">
        <v>520</v>
      </c>
      <c r="H35" s="8" t="s">
        <v>44</v>
      </c>
      <c r="I35" s="2"/>
      <c r="J35" s="2"/>
      <c r="K35" s="2"/>
      <c r="L35" s="2"/>
    </row>
    <row r="36" spans="1:12" x14ac:dyDescent="0.35">
      <c r="A36" s="8" t="s">
        <v>104</v>
      </c>
      <c r="B36" s="8" t="s">
        <v>57</v>
      </c>
      <c r="C36" s="8" t="s">
        <v>58</v>
      </c>
      <c r="D36" s="9">
        <v>46261</v>
      </c>
      <c r="E36" s="10">
        <v>17</v>
      </c>
      <c r="F36" s="10">
        <v>5</v>
      </c>
      <c r="G36" s="11">
        <v>510</v>
      </c>
      <c r="H36" s="8" t="s">
        <v>44</v>
      </c>
      <c r="I36" s="2"/>
      <c r="J36" s="2"/>
      <c r="K36" s="2"/>
      <c r="L36" s="2"/>
    </row>
    <row r="37" spans="1:12" x14ac:dyDescent="0.35">
      <c r="A37" s="8" t="s">
        <v>105</v>
      </c>
      <c r="B37" s="8" t="s">
        <v>42</v>
      </c>
      <c r="C37" s="8" t="s">
        <v>43</v>
      </c>
      <c r="D37" s="9">
        <v>46263</v>
      </c>
      <c r="E37" s="10">
        <v>29</v>
      </c>
      <c r="F37" s="10">
        <v>5</v>
      </c>
      <c r="G37" s="11">
        <v>560</v>
      </c>
      <c r="H37" s="8" t="s">
        <v>44</v>
      </c>
      <c r="I37" s="2"/>
      <c r="J37" s="2"/>
      <c r="K37" s="2"/>
      <c r="L37" s="2"/>
    </row>
    <row r="38" spans="1:12" x14ac:dyDescent="0.35">
      <c r="A38" s="8" t="s">
        <v>106</v>
      </c>
      <c r="B38" s="8" t="s">
        <v>74</v>
      </c>
      <c r="C38" s="8" t="s">
        <v>47</v>
      </c>
      <c r="D38" s="9">
        <v>46264</v>
      </c>
      <c r="E38" s="10">
        <v>37</v>
      </c>
      <c r="F38" s="10">
        <v>4</v>
      </c>
      <c r="G38" s="11">
        <v>370</v>
      </c>
      <c r="H38" s="8" t="s">
        <v>44</v>
      </c>
      <c r="I38" s="2"/>
      <c r="J38" s="2"/>
      <c r="K38" s="2"/>
      <c r="L38" s="2"/>
    </row>
    <row r="39" spans="1:12" x14ac:dyDescent="0.35">
      <c r="A39" s="8" t="s">
        <v>107</v>
      </c>
      <c r="B39" s="8" t="s">
        <v>54</v>
      </c>
      <c r="C39" s="8" t="s">
        <v>50</v>
      </c>
      <c r="D39" s="9">
        <v>46264</v>
      </c>
      <c r="E39" s="10">
        <v>38</v>
      </c>
      <c r="F39" s="10">
        <v>5</v>
      </c>
      <c r="G39" s="11">
        <v>250</v>
      </c>
      <c r="H39" s="8" t="s">
        <v>44</v>
      </c>
      <c r="I39" s="2"/>
      <c r="J39" s="2"/>
      <c r="K39" s="2"/>
      <c r="L39" s="2"/>
    </row>
    <row r="40" spans="1:12" x14ac:dyDescent="0.35">
      <c r="A40" s="8" t="s">
        <v>108</v>
      </c>
      <c r="B40" s="8" t="s">
        <v>84</v>
      </c>
      <c r="C40" s="8" t="s">
        <v>55</v>
      </c>
      <c r="D40" s="9">
        <v>46265</v>
      </c>
      <c r="E40" s="10">
        <v>44</v>
      </c>
      <c r="F40" s="10">
        <v>4</v>
      </c>
      <c r="G40" s="11">
        <v>360</v>
      </c>
      <c r="H40" s="8" t="s">
        <v>44</v>
      </c>
      <c r="I40" s="2"/>
      <c r="J40" s="2"/>
      <c r="K40" s="2"/>
      <c r="L40" s="2"/>
    </row>
    <row r="41" spans="1:12" x14ac:dyDescent="0.35">
      <c r="A41" s="8" t="s">
        <v>109</v>
      </c>
      <c r="B41" s="8" t="s">
        <v>95</v>
      </c>
      <c r="C41" s="8" t="s">
        <v>58</v>
      </c>
      <c r="D41" s="9">
        <v>46265</v>
      </c>
      <c r="E41" s="10">
        <v>37</v>
      </c>
      <c r="F41" s="10">
        <v>4</v>
      </c>
      <c r="G41" s="11">
        <v>310</v>
      </c>
      <c r="H41" s="8" t="s">
        <v>44</v>
      </c>
      <c r="I41" s="2"/>
      <c r="J41" s="2"/>
      <c r="K41" s="2"/>
      <c r="L41" s="2"/>
    </row>
  </sheetData>
  <conditionalFormatting sqref="E2:E200">
    <cfRule type="expression" dxfId="6" priority="1">
      <formula>AND(ISNUMBER(E2),E2&lt;=30)</formula>
    </cfRule>
    <cfRule type="expression" dxfId="5" priority="2">
      <formula>AND(ISNUMBER(E2),E2&gt;30,E2&lt;=45)</formula>
    </cfRule>
    <cfRule type="expression" dxfId="4" priority="3">
      <formula>AND(ISNUMBER(E2),E2&gt;45)</formula>
    </cfRule>
    <cfRule type="iconSet" priority="4">
      <iconSet reverse="1">
        <cfvo type="num" val="0"/>
        <cfvo type="num" val="30.01"/>
        <cfvo type="num" val="45.01"/>
      </iconSet>
    </cfRule>
  </conditionalFormatting>
  <dataValidations count="2">
    <dataValidation type="list" allowBlank="1" showInputMessage="1" showErrorMessage="1" errorTitle="Invalid cuisine" error="Choose North Indian, Chinese, South Indian, Fast Food or Italian." promptTitle="Cuisine" prompt="Pick one of the 5 cuisine types from the list." sqref="C2:C200" xr:uid="{00000000-0002-0000-0100-000000000000}">
      <formula1>"North Indian,Chinese,South Indian,Fast Food,Italian"</formula1>
    </dataValidation>
    <dataValidation type="whole" allowBlank="1" showInputMessage="1" showErrorMessage="1" errorTitle="Invalid rating" error="Rating must be a whole number between 1 and 5." promptTitle="Rating (1-5)" prompt="Enter a whole number from 1 to 5." sqref="F2:F200" xr:uid="{00000000-0002-0000-0100-000001000000}">
      <formula1>1</formula1>
      <formula2>5</formula2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workbookViewId="0"/>
  </sheetViews>
  <sheetFormatPr defaultRowHeight="14.5" x14ac:dyDescent="0.35"/>
  <cols>
    <col min="1" max="1" width="10" customWidth="1"/>
    <col min="2" max="2" width="18" customWidth="1"/>
    <col min="3" max="3" width="15" customWidth="1"/>
    <col min="4" max="5" width="13" customWidth="1"/>
    <col min="6" max="6" width="8" customWidth="1"/>
    <col min="7" max="7" width="10" customWidth="1"/>
    <col min="8" max="8" width="11" customWidth="1"/>
    <col min="9" max="9" width="3" customWidth="1"/>
    <col min="10" max="10" width="70" customWidth="1"/>
  </cols>
  <sheetData>
    <row r="1" spans="1:10" x14ac:dyDescent="0.35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5</v>
      </c>
      <c r="I1" s="2"/>
      <c r="J1" s="6" t="s">
        <v>110</v>
      </c>
    </row>
    <row r="2" spans="1:10" x14ac:dyDescent="0.35">
      <c r="A2" s="8" t="s">
        <v>48</v>
      </c>
      <c r="B2" s="8" t="s">
        <v>49</v>
      </c>
      <c r="C2" s="8" t="s">
        <v>50</v>
      </c>
      <c r="D2" s="9">
        <v>46238</v>
      </c>
      <c r="E2" s="8">
        <v>34</v>
      </c>
      <c r="F2" s="8">
        <v>4</v>
      </c>
      <c r="G2" s="11">
        <v>580</v>
      </c>
      <c r="H2" s="8" t="s">
        <v>44</v>
      </c>
      <c r="I2" s="2"/>
      <c r="J2" s="13" t="s">
        <v>111</v>
      </c>
    </row>
    <row r="3" spans="1:10" x14ac:dyDescent="0.35">
      <c r="A3" s="8" t="s">
        <v>53</v>
      </c>
      <c r="B3" s="8" t="s">
        <v>54</v>
      </c>
      <c r="C3" s="8" t="s">
        <v>55</v>
      </c>
      <c r="D3" s="9">
        <v>46239</v>
      </c>
      <c r="E3" s="8">
        <v>42</v>
      </c>
      <c r="F3" s="8">
        <v>4</v>
      </c>
      <c r="G3" s="11">
        <v>810</v>
      </c>
      <c r="H3" s="8" t="s">
        <v>44</v>
      </c>
      <c r="I3" s="2"/>
      <c r="J3" s="13" t="s">
        <v>112</v>
      </c>
    </row>
    <row r="4" spans="1:10" x14ac:dyDescent="0.35">
      <c r="A4" s="8" t="s">
        <v>56</v>
      </c>
      <c r="B4" s="8" t="s">
        <v>57</v>
      </c>
      <c r="C4" s="8" t="s">
        <v>58</v>
      </c>
      <c r="D4" s="9">
        <v>46239</v>
      </c>
      <c r="E4" s="8">
        <v>32</v>
      </c>
      <c r="F4" s="8">
        <v>5</v>
      </c>
      <c r="G4" s="11">
        <v>830</v>
      </c>
      <c r="H4" s="8" t="s">
        <v>44</v>
      </c>
      <c r="I4" s="2"/>
      <c r="J4" s="13" t="s">
        <v>113</v>
      </c>
    </row>
    <row r="5" spans="1:10" x14ac:dyDescent="0.35">
      <c r="A5" s="8" t="s">
        <v>63</v>
      </c>
      <c r="B5" s="8" t="s">
        <v>61</v>
      </c>
      <c r="C5" s="8" t="s">
        <v>47</v>
      </c>
      <c r="D5" s="9">
        <v>46239</v>
      </c>
      <c r="E5" s="8">
        <v>35</v>
      </c>
      <c r="F5" s="8">
        <v>5</v>
      </c>
      <c r="G5" s="11">
        <v>720</v>
      </c>
      <c r="H5" s="8" t="s">
        <v>44</v>
      </c>
      <c r="I5" s="2"/>
      <c r="J5" s="13" t="s">
        <v>114</v>
      </c>
    </row>
    <row r="6" spans="1:10" x14ac:dyDescent="0.35">
      <c r="A6" s="8" t="s">
        <v>69</v>
      </c>
      <c r="B6" s="8" t="s">
        <v>61</v>
      </c>
      <c r="C6" s="8" t="s">
        <v>58</v>
      </c>
      <c r="D6" s="9">
        <v>46243</v>
      </c>
      <c r="E6" s="8">
        <v>31</v>
      </c>
      <c r="F6" s="8">
        <v>5</v>
      </c>
      <c r="G6" s="11">
        <v>570</v>
      </c>
      <c r="H6" s="8" t="s">
        <v>44</v>
      </c>
      <c r="I6" s="2"/>
      <c r="J6" s="2"/>
    </row>
    <row r="7" spans="1:10" x14ac:dyDescent="0.35">
      <c r="A7" s="8" t="s">
        <v>70</v>
      </c>
      <c r="B7" s="8" t="s">
        <v>71</v>
      </c>
      <c r="C7" s="8" t="s">
        <v>43</v>
      </c>
      <c r="D7" s="9">
        <v>46245</v>
      </c>
      <c r="E7" s="8">
        <v>24</v>
      </c>
      <c r="F7" s="8">
        <v>5</v>
      </c>
      <c r="G7" s="11">
        <v>610</v>
      </c>
      <c r="H7" s="8" t="s">
        <v>44</v>
      </c>
      <c r="I7" s="2"/>
      <c r="J7" s="2"/>
    </row>
    <row r="8" spans="1:10" x14ac:dyDescent="0.35">
      <c r="A8" s="8" t="s">
        <v>72</v>
      </c>
      <c r="B8" s="8" t="s">
        <v>49</v>
      </c>
      <c r="C8" s="8" t="s">
        <v>47</v>
      </c>
      <c r="D8" s="9">
        <v>46246</v>
      </c>
      <c r="E8" s="8">
        <v>28</v>
      </c>
      <c r="F8" s="8">
        <v>5</v>
      </c>
      <c r="G8" s="11">
        <v>660</v>
      </c>
      <c r="H8" s="8" t="s">
        <v>44</v>
      </c>
      <c r="I8" s="2"/>
      <c r="J8" s="2"/>
    </row>
    <row r="9" spans="1:10" x14ac:dyDescent="0.35">
      <c r="A9" s="8" t="s">
        <v>83</v>
      </c>
      <c r="B9" s="8" t="s">
        <v>84</v>
      </c>
      <c r="C9" s="8" t="s">
        <v>55</v>
      </c>
      <c r="D9" s="9">
        <v>46250</v>
      </c>
      <c r="E9" s="8">
        <v>37</v>
      </c>
      <c r="F9" s="8">
        <v>4</v>
      </c>
      <c r="G9" s="11">
        <v>580</v>
      </c>
      <c r="H9" s="8" t="s">
        <v>44</v>
      </c>
      <c r="I9" s="2"/>
      <c r="J9" s="2"/>
    </row>
    <row r="10" spans="1:10" x14ac:dyDescent="0.35">
      <c r="A10" s="8" t="s">
        <v>87</v>
      </c>
      <c r="B10" s="8" t="s">
        <v>86</v>
      </c>
      <c r="C10" s="8" t="s">
        <v>43</v>
      </c>
      <c r="D10" s="9">
        <v>46251</v>
      </c>
      <c r="E10" s="8">
        <v>29</v>
      </c>
      <c r="F10" s="8">
        <v>4</v>
      </c>
      <c r="G10" s="11">
        <v>940</v>
      </c>
      <c r="H10" s="8" t="s">
        <v>44</v>
      </c>
      <c r="I10" s="2"/>
      <c r="J10" s="2"/>
    </row>
    <row r="11" spans="1:10" x14ac:dyDescent="0.35">
      <c r="A11" s="8" t="s">
        <v>94</v>
      </c>
      <c r="B11" s="8" t="s">
        <v>95</v>
      </c>
      <c r="C11" s="8" t="s">
        <v>47</v>
      </c>
      <c r="D11" s="9">
        <v>46255</v>
      </c>
      <c r="E11" s="8">
        <v>28</v>
      </c>
      <c r="F11" s="8">
        <v>5</v>
      </c>
      <c r="G11" s="11">
        <v>720</v>
      </c>
      <c r="H11" s="8" t="s">
        <v>44</v>
      </c>
      <c r="I11" s="2"/>
      <c r="J11" s="2"/>
    </row>
    <row r="12" spans="1:10" x14ac:dyDescent="0.35">
      <c r="A12" s="8" t="s">
        <v>97</v>
      </c>
      <c r="B12" s="8" t="s">
        <v>46</v>
      </c>
      <c r="C12" s="8" t="s">
        <v>55</v>
      </c>
      <c r="D12" s="9">
        <v>46258</v>
      </c>
      <c r="E12" s="8">
        <v>29</v>
      </c>
      <c r="F12" s="8">
        <v>5</v>
      </c>
      <c r="G12" s="11">
        <v>540</v>
      </c>
      <c r="H12" s="8" t="s">
        <v>44</v>
      </c>
      <c r="I12" s="2"/>
      <c r="J12" s="2"/>
    </row>
    <row r="13" spans="1:10" x14ac:dyDescent="0.35">
      <c r="A13" s="8" t="s">
        <v>98</v>
      </c>
      <c r="B13" s="8" t="s">
        <v>68</v>
      </c>
      <c r="C13" s="8" t="s">
        <v>58</v>
      </c>
      <c r="D13" s="9">
        <v>46259</v>
      </c>
      <c r="E13" s="8">
        <v>30</v>
      </c>
      <c r="F13" s="8">
        <v>5</v>
      </c>
      <c r="G13" s="11">
        <v>540</v>
      </c>
      <c r="H13" s="8" t="s">
        <v>44</v>
      </c>
      <c r="I13" s="2"/>
      <c r="J13" s="2"/>
    </row>
    <row r="14" spans="1:10" x14ac:dyDescent="0.35">
      <c r="A14" s="8" t="s">
        <v>103</v>
      </c>
      <c r="B14" s="8" t="s">
        <v>54</v>
      </c>
      <c r="C14" s="8" t="s">
        <v>55</v>
      </c>
      <c r="D14" s="9">
        <v>46261</v>
      </c>
      <c r="E14" s="8">
        <v>40</v>
      </c>
      <c r="F14" s="8">
        <v>4</v>
      </c>
      <c r="G14" s="11">
        <v>520</v>
      </c>
      <c r="H14" s="8" t="s">
        <v>44</v>
      </c>
      <c r="I14" s="2"/>
      <c r="J14" s="2"/>
    </row>
    <row r="15" spans="1:10" x14ac:dyDescent="0.35">
      <c r="A15" s="8" t="s">
        <v>104</v>
      </c>
      <c r="B15" s="8" t="s">
        <v>57</v>
      </c>
      <c r="C15" s="8" t="s">
        <v>58</v>
      </c>
      <c r="D15" s="9">
        <v>46261</v>
      </c>
      <c r="E15" s="8">
        <v>17</v>
      </c>
      <c r="F15" s="8">
        <v>5</v>
      </c>
      <c r="G15" s="11">
        <v>510</v>
      </c>
      <c r="H15" s="8" t="s">
        <v>44</v>
      </c>
      <c r="I15" s="2"/>
      <c r="J15" s="2"/>
    </row>
    <row r="16" spans="1:10" x14ac:dyDescent="0.35">
      <c r="A16" s="8" t="s">
        <v>105</v>
      </c>
      <c r="B16" s="8" t="s">
        <v>42</v>
      </c>
      <c r="C16" s="8" t="s">
        <v>43</v>
      </c>
      <c r="D16" s="9">
        <v>46263</v>
      </c>
      <c r="E16" s="8">
        <v>29</v>
      </c>
      <c r="F16" s="8">
        <v>5</v>
      </c>
      <c r="G16" s="11">
        <v>560</v>
      </c>
      <c r="H16" s="8" t="s">
        <v>44</v>
      </c>
      <c r="I16" s="2"/>
      <c r="J16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pane ySplit="1" topLeftCell="A19" activePane="bottomLeft" state="frozen"/>
      <selection pane="bottomLeft"/>
    </sheetView>
  </sheetViews>
  <sheetFormatPr defaultRowHeight="14.5" x14ac:dyDescent="0.35"/>
  <cols>
    <col min="1" max="1" width="14" customWidth="1"/>
    <col min="2" max="2" width="26" customWidth="1"/>
    <col min="3" max="3" width="12" customWidth="1"/>
    <col min="4" max="4" width="16" customWidth="1"/>
    <col min="5" max="5" width="11" customWidth="1"/>
  </cols>
  <sheetData>
    <row r="1" spans="1:5" x14ac:dyDescent="0.35">
      <c r="A1" s="4" t="s">
        <v>115</v>
      </c>
      <c r="B1" s="4" t="s">
        <v>116</v>
      </c>
      <c r="C1" s="4" t="s">
        <v>117</v>
      </c>
      <c r="D1" s="4" t="s">
        <v>118</v>
      </c>
      <c r="E1" s="4" t="s">
        <v>119</v>
      </c>
    </row>
    <row r="2" spans="1:5" x14ac:dyDescent="0.35">
      <c r="A2" s="8" t="s">
        <v>120</v>
      </c>
      <c r="B2" s="8" t="s">
        <v>121</v>
      </c>
      <c r="C2" s="8" t="s">
        <v>122</v>
      </c>
      <c r="D2" s="8" t="s">
        <v>123</v>
      </c>
      <c r="E2" s="14">
        <v>4.3</v>
      </c>
    </row>
    <row r="3" spans="1:5" x14ac:dyDescent="0.35">
      <c r="A3" s="8" t="s">
        <v>124</v>
      </c>
      <c r="B3" s="8" t="s">
        <v>125</v>
      </c>
      <c r="C3" s="8" t="s">
        <v>122</v>
      </c>
      <c r="D3" s="8" t="s">
        <v>126</v>
      </c>
      <c r="E3" s="14">
        <v>4</v>
      </c>
    </row>
    <row r="4" spans="1:5" x14ac:dyDescent="0.35">
      <c r="A4" s="8" t="s">
        <v>127</v>
      </c>
      <c r="B4" s="8" t="s">
        <v>128</v>
      </c>
      <c r="C4" s="8" t="s">
        <v>122</v>
      </c>
      <c r="D4" s="8" t="s">
        <v>129</v>
      </c>
      <c r="E4" s="14">
        <v>3.8</v>
      </c>
    </row>
    <row r="5" spans="1:5" x14ac:dyDescent="0.35">
      <c r="A5" s="8" t="s">
        <v>130</v>
      </c>
      <c r="B5" s="8" t="s">
        <v>131</v>
      </c>
      <c r="C5" s="8" t="s">
        <v>122</v>
      </c>
      <c r="D5" s="8" t="s">
        <v>123</v>
      </c>
      <c r="E5" s="14">
        <v>4.5</v>
      </c>
    </row>
    <row r="6" spans="1:5" x14ac:dyDescent="0.35">
      <c r="A6" s="8" t="s">
        <v>132</v>
      </c>
      <c r="B6" s="8" t="s">
        <v>133</v>
      </c>
      <c r="C6" s="8" t="s">
        <v>134</v>
      </c>
      <c r="D6" s="8" t="s">
        <v>126</v>
      </c>
      <c r="E6" s="14">
        <v>4.4000000000000004</v>
      </c>
    </row>
    <row r="7" spans="1:5" x14ac:dyDescent="0.35">
      <c r="A7" s="8" t="s">
        <v>135</v>
      </c>
      <c r="B7" s="8" t="s">
        <v>136</v>
      </c>
      <c r="C7" s="8" t="s">
        <v>134</v>
      </c>
      <c r="D7" s="8" t="s">
        <v>129</v>
      </c>
      <c r="E7" s="14">
        <v>3.9</v>
      </c>
    </row>
    <row r="8" spans="1:5" x14ac:dyDescent="0.35">
      <c r="A8" s="8" t="s">
        <v>137</v>
      </c>
      <c r="B8" s="8" t="s">
        <v>138</v>
      </c>
      <c r="C8" s="8" t="s">
        <v>134</v>
      </c>
      <c r="D8" s="8" t="s">
        <v>129</v>
      </c>
      <c r="E8" s="14">
        <v>4.0999999999999996</v>
      </c>
    </row>
    <row r="9" spans="1:5" x14ac:dyDescent="0.35">
      <c r="A9" s="8" t="s">
        <v>139</v>
      </c>
      <c r="B9" s="8" t="s">
        <v>140</v>
      </c>
      <c r="C9" s="8" t="s">
        <v>134</v>
      </c>
      <c r="D9" s="8" t="s">
        <v>123</v>
      </c>
      <c r="E9" s="14">
        <v>4.2</v>
      </c>
    </row>
    <row r="10" spans="1:5" x14ac:dyDescent="0.35">
      <c r="A10" s="8" t="s">
        <v>141</v>
      </c>
      <c r="B10" s="8" t="s">
        <v>142</v>
      </c>
      <c r="C10" s="8" t="s">
        <v>143</v>
      </c>
      <c r="D10" s="8" t="s">
        <v>126</v>
      </c>
      <c r="E10" s="14">
        <v>4.2</v>
      </c>
    </row>
    <row r="11" spans="1:5" x14ac:dyDescent="0.35">
      <c r="A11" s="8" t="s">
        <v>144</v>
      </c>
      <c r="B11" s="8" t="s">
        <v>145</v>
      </c>
      <c r="C11" s="8" t="s">
        <v>143</v>
      </c>
      <c r="D11" s="8" t="s">
        <v>123</v>
      </c>
      <c r="E11" s="14">
        <v>4</v>
      </c>
    </row>
    <row r="12" spans="1:5" x14ac:dyDescent="0.35">
      <c r="A12" s="8" t="s">
        <v>146</v>
      </c>
      <c r="B12" s="8" t="s">
        <v>147</v>
      </c>
      <c r="C12" s="8" t="s">
        <v>143</v>
      </c>
      <c r="D12" s="8" t="s">
        <v>129</v>
      </c>
      <c r="E12" s="14">
        <v>4.0999999999999996</v>
      </c>
    </row>
    <row r="13" spans="1:5" x14ac:dyDescent="0.35">
      <c r="A13" s="8" t="s">
        <v>148</v>
      </c>
      <c r="B13" s="8" t="s">
        <v>149</v>
      </c>
      <c r="C13" s="8" t="s">
        <v>143</v>
      </c>
      <c r="D13" s="8" t="s">
        <v>126</v>
      </c>
      <c r="E13" s="14">
        <v>3.6</v>
      </c>
    </row>
    <row r="14" spans="1:5" x14ac:dyDescent="0.35">
      <c r="A14" s="8" t="s">
        <v>150</v>
      </c>
      <c r="B14" s="8" t="s">
        <v>151</v>
      </c>
      <c r="C14" s="8" t="s">
        <v>152</v>
      </c>
      <c r="D14" s="8" t="s">
        <v>123</v>
      </c>
      <c r="E14" s="14">
        <v>4.5999999999999996</v>
      </c>
    </row>
    <row r="15" spans="1:5" x14ac:dyDescent="0.35">
      <c r="A15" s="8" t="s">
        <v>153</v>
      </c>
      <c r="B15" s="8" t="s">
        <v>154</v>
      </c>
      <c r="C15" s="8" t="s">
        <v>152</v>
      </c>
      <c r="D15" s="8" t="s">
        <v>126</v>
      </c>
      <c r="E15" s="14">
        <v>3.8</v>
      </c>
    </row>
    <row r="16" spans="1:5" x14ac:dyDescent="0.35">
      <c r="A16" s="8" t="s">
        <v>155</v>
      </c>
      <c r="B16" s="8" t="s">
        <v>156</v>
      </c>
      <c r="C16" s="8" t="s">
        <v>152</v>
      </c>
      <c r="D16" s="8" t="s">
        <v>123</v>
      </c>
      <c r="E16" s="14">
        <v>4.3</v>
      </c>
    </row>
    <row r="17" spans="1:5" x14ac:dyDescent="0.35">
      <c r="A17" s="8" t="s">
        <v>157</v>
      </c>
      <c r="B17" s="8" t="s">
        <v>158</v>
      </c>
      <c r="C17" s="8" t="s">
        <v>152</v>
      </c>
      <c r="D17" s="8" t="s">
        <v>129</v>
      </c>
      <c r="E17" s="14">
        <v>3.7</v>
      </c>
    </row>
    <row r="18" spans="1:5" x14ac:dyDescent="0.35">
      <c r="A18" s="8" t="s">
        <v>159</v>
      </c>
      <c r="B18" s="8" t="s">
        <v>160</v>
      </c>
      <c r="C18" s="8" t="s">
        <v>161</v>
      </c>
      <c r="D18" s="8" t="s">
        <v>126</v>
      </c>
      <c r="E18" s="14">
        <v>4.4000000000000004</v>
      </c>
    </row>
    <row r="19" spans="1:5" x14ac:dyDescent="0.35">
      <c r="A19" s="8" t="s">
        <v>162</v>
      </c>
      <c r="B19" s="8" t="s">
        <v>163</v>
      </c>
      <c r="C19" s="8" t="s">
        <v>161</v>
      </c>
      <c r="D19" s="8" t="s">
        <v>129</v>
      </c>
      <c r="E19" s="14">
        <v>3.5</v>
      </c>
    </row>
    <row r="20" spans="1:5" x14ac:dyDescent="0.35">
      <c r="A20" s="8" t="s">
        <v>164</v>
      </c>
      <c r="B20" s="8" t="s">
        <v>165</v>
      </c>
      <c r="C20" s="8" t="s">
        <v>161</v>
      </c>
      <c r="D20" s="8" t="s">
        <v>126</v>
      </c>
      <c r="E20" s="14">
        <v>4</v>
      </c>
    </row>
    <row r="21" spans="1:5" x14ac:dyDescent="0.35">
      <c r="A21" s="8" t="s">
        <v>166</v>
      </c>
      <c r="B21" s="8" t="s">
        <v>167</v>
      </c>
      <c r="C21" s="8" t="s">
        <v>161</v>
      </c>
      <c r="D21" s="8" t="s">
        <v>129</v>
      </c>
      <c r="E21" s="14">
        <v>3.9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"/>
  <sheetViews>
    <sheetView tabSelected="1" workbookViewId="0">
      <pane ySplit="1" topLeftCell="A2" activePane="bottomLeft" state="frozen"/>
      <selection pane="bottomLeft" activeCell="E23" sqref="E23"/>
    </sheetView>
  </sheetViews>
  <sheetFormatPr defaultRowHeight="14.5" x14ac:dyDescent="0.35"/>
  <cols>
    <col min="1" max="1" width="14" customWidth="1"/>
    <col min="2" max="2" width="15" customWidth="1"/>
    <col min="3" max="3" width="13" customWidth="1"/>
    <col min="4" max="4" width="12" customWidth="1"/>
    <col min="5" max="5" width="24" customWidth="1"/>
    <col min="6" max="6" width="13" customWidth="1"/>
    <col min="7" max="7" width="3" customWidth="1"/>
    <col min="8" max="8" width="20" customWidth="1"/>
  </cols>
  <sheetData>
    <row r="1" spans="1:8" x14ac:dyDescent="0.35">
      <c r="A1" s="4" t="s">
        <v>33</v>
      </c>
      <c r="B1" s="4" t="s">
        <v>115</v>
      </c>
      <c r="C1" s="4" t="s">
        <v>36</v>
      </c>
      <c r="D1" s="4" t="s">
        <v>39</v>
      </c>
      <c r="E1" s="4" t="s">
        <v>116</v>
      </c>
      <c r="F1" s="4" t="s">
        <v>117</v>
      </c>
      <c r="G1" s="2"/>
      <c r="H1" s="6" t="s">
        <v>168</v>
      </c>
    </row>
    <row r="2" spans="1:8" x14ac:dyDescent="0.35">
      <c r="A2" s="8" t="s">
        <v>169</v>
      </c>
      <c r="B2" s="8" t="s">
        <v>144</v>
      </c>
      <c r="C2" s="9">
        <v>46267</v>
      </c>
      <c r="D2" s="11">
        <v>340</v>
      </c>
      <c r="E2" s="8" t="str">
        <f>_xlfn.XLOOKUP(B2,Restaurants!$A$2:$A$21,Restaurants!$B$2:$B$21,"Not Listed",0)</f>
        <v>Dragon Bowl</v>
      </c>
      <c r="F2" s="8" t="str">
        <f>IFERROR(INDEX(Restaurants!$C$2:$C$21,MATCH(B2,Restaurants!$A$2:$A$21,0)),"Not Listed")</f>
        <v>East</v>
      </c>
      <c r="G2" s="2"/>
      <c r="H2" s="13" t="s">
        <v>170</v>
      </c>
    </row>
    <row r="3" spans="1:8" x14ac:dyDescent="0.35">
      <c r="A3" s="8" t="s">
        <v>171</v>
      </c>
      <c r="B3" s="8" t="s">
        <v>124</v>
      </c>
      <c r="C3" s="9">
        <v>46269</v>
      </c>
      <c r="D3" s="11">
        <v>470</v>
      </c>
      <c r="E3" s="8" t="str">
        <f>_xlfn.XLOOKUP(B3,Restaurants!$A$2:$A$21,Restaurants!$B$2:$B$21,"Not Listed",0)</f>
        <v>Wok This Way</v>
      </c>
      <c r="F3" s="8" t="str">
        <f>IFERROR(INDEX(Restaurants!$C$2:$C$21,MATCH(B3,Restaurants!$A$2:$A$21,0)),"Not Listed")</f>
        <v>North</v>
      </c>
      <c r="G3" s="2"/>
      <c r="H3" s="13" t="s">
        <v>172</v>
      </c>
    </row>
    <row r="4" spans="1:8" x14ac:dyDescent="0.35">
      <c r="A4" s="8" t="s">
        <v>173</v>
      </c>
      <c r="B4" s="8" t="s">
        <v>130</v>
      </c>
      <c r="C4" s="9">
        <v>46269</v>
      </c>
      <c r="D4" s="11">
        <v>250</v>
      </c>
      <c r="E4" s="8" t="str">
        <f>_xlfn.XLOOKUP(B4,Restaurants!$A$2:$A$21,Restaurants!$B$2:$B$21,"Not Listed",0)</f>
        <v>Dosa Dynasty</v>
      </c>
      <c r="F4" s="8" t="str">
        <f>IFERROR(INDEX(Restaurants!$C$2:$C$21,MATCH(B4,Restaurants!$A$2:$A$21,0)),"Not Listed")</f>
        <v>North</v>
      </c>
      <c r="G4" s="2"/>
      <c r="H4" s="2"/>
    </row>
    <row r="5" spans="1:8" x14ac:dyDescent="0.35">
      <c r="A5" s="8" t="s">
        <v>174</v>
      </c>
      <c r="B5" s="8" t="s">
        <v>144</v>
      </c>
      <c r="C5" s="9">
        <v>46269</v>
      </c>
      <c r="D5" s="11">
        <v>460</v>
      </c>
      <c r="E5" s="8" t="str">
        <f>_xlfn.XLOOKUP(B5,Restaurants!$A$2:$A$21,Restaurants!$B$2:$B$21,"Not Listed",0)</f>
        <v>Dragon Bowl</v>
      </c>
      <c r="F5" s="8" t="str">
        <f>IFERROR(INDEX(Restaurants!$C$2:$C$21,MATCH(B5,Restaurants!$A$2:$A$21,0)),"Not Listed")</f>
        <v>East</v>
      </c>
      <c r="G5" s="2"/>
      <c r="H5" s="2"/>
    </row>
    <row r="6" spans="1:8" x14ac:dyDescent="0.35">
      <c r="A6" s="8" t="s">
        <v>175</v>
      </c>
      <c r="B6" s="8" t="s">
        <v>130</v>
      </c>
      <c r="C6" s="9">
        <v>46269</v>
      </c>
      <c r="D6" s="11">
        <v>810</v>
      </c>
      <c r="E6" s="8" t="str">
        <f>_xlfn.XLOOKUP(B6,Restaurants!$A$2:$A$21,Restaurants!$B$2:$B$21,"Not Listed",0)</f>
        <v>Dosa Dynasty</v>
      </c>
      <c r="F6" s="8" t="str">
        <f>IFERROR(INDEX(Restaurants!$C$2:$C$21,MATCH(B6,Restaurants!$A$2:$A$21,0)),"Not Listed")</f>
        <v>North</v>
      </c>
      <c r="G6" s="2"/>
      <c r="H6" s="2"/>
    </row>
    <row r="7" spans="1:8" x14ac:dyDescent="0.35">
      <c r="A7" s="8" t="s">
        <v>176</v>
      </c>
      <c r="B7" s="8" t="s">
        <v>137</v>
      </c>
      <c r="C7" s="9">
        <v>46272</v>
      </c>
      <c r="D7" s="11">
        <v>320</v>
      </c>
      <c r="E7" s="8" t="str">
        <f>_xlfn.XLOOKUP(B7,Restaurants!$A$2:$A$21,Restaurants!$B$2:$B$21,"Not Listed",0)</f>
        <v>Punjabi Dhaba Express</v>
      </c>
      <c r="F7" s="8" t="str">
        <f>IFERROR(INDEX(Restaurants!$C$2:$C$21,MATCH(B7,Restaurants!$A$2:$A$21,0)),"Not Listed")</f>
        <v>South</v>
      </c>
      <c r="G7" s="2"/>
      <c r="H7" s="2"/>
    </row>
    <row r="8" spans="1:8" x14ac:dyDescent="0.35">
      <c r="A8" s="8" t="s">
        <v>177</v>
      </c>
      <c r="B8" s="8" t="s">
        <v>178</v>
      </c>
      <c r="C8" s="9">
        <v>46272</v>
      </c>
      <c r="D8" s="11">
        <v>440</v>
      </c>
      <c r="E8" s="8" t="str">
        <f>_xlfn.XLOOKUP(B8,Restaurants!$A$2:$A$21,Restaurants!$B$2:$B$21,"Not Listed",0)</f>
        <v>Not Listed</v>
      </c>
      <c r="F8" s="8" t="str">
        <f>IFERROR(INDEX(Restaurants!$C$2:$C$21,MATCH(B8,Restaurants!$A$2:$A$21,0)),"Not Listed")</f>
        <v>Not Listed</v>
      </c>
      <c r="G8" s="2"/>
      <c r="H8" s="2"/>
    </row>
    <row r="9" spans="1:8" x14ac:dyDescent="0.35">
      <c r="A9" s="8" t="s">
        <v>179</v>
      </c>
      <c r="B9" s="8" t="s">
        <v>139</v>
      </c>
      <c r="C9" s="9">
        <v>46272</v>
      </c>
      <c r="D9" s="11">
        <v>1600</v>
      </c>
      <c r="E9" s="8" t="str">
        <f>_xlfn.XLOOKUP(B9,Restaurants!$A$2:$A$21,Restaurants!$B$2:$B$21,"Not Listed",0)</f>
        <v>Pizza Plaza</v>
      </c>
      <c r="F9" s="8" t="str">
        <f>IFERROR(INDEX(Restaurants!$C$2:$C$21,MATCH(B9,Restaurants!$A$2:$A$21,0)),"Not Listed")</f>
        <v>South</v>
      </c>
      <c r="G9" s="2"/>
      <c r="H9" s="2"/>
    </row>
    <row r="10" spans="1:8" x14ac:dyDescent="0.35">
      <c r="A10" s="8" t="s">
        <v>180</v>
      </c>
      <c r="B10" s="8" t="s">
        <v>127</v>
      </c>
      <c r="C10" s="9">
        <v>46273</v>
      </c>
      <c r="D10" s="11">
        <v>290</v>
      </c>
      <c r="E10" s="8" t="str">
        <f>_xlfn.XLOOKUP(B10,Restaurants!$A$2:$A$21,Restaurants!$B$2:$B$21,"Not Listed",0)</f>
        <v>Burger Barn</v>
      </c>
      <c r="F10" s="8" t="str">
        <f>IFERROR(INDEX(Restaurants!$C$2:$C$21,MATCH(B10,Restaurants!$A$2:$A$21,0)),"Not Listed")</f>
        <v>North</v>
      </c>
      <c r="G10" s="2"/>
      <c r="H10" s="2"/>
    </row>
    <row r="11" spans="1:8" x14ac:dyDescent="0.35">
      <c r="A11" s="8" t="s">
        <v>181</v>
      </c>
      <c r="B11" s="8" t="s">
        <v>146</v>
      </c>
      <c r="C11" s="9">
        <v>46276</v>
      </c>
      <c r="D11" s="11">
        <v>220</v>
      </c>
      <c r="E11" s="8" t="str">
        <f>_xlfn.XLOOKUP(B11,Restaurants!$A$2:$A$21,Restaurants!$B$2:$B$21,"Not Listed",0)</f>
        <v>Idli Express</v>
      </c>
      <c r="F11" s="8" t="str">
        <f>IFERROR(INDEX(Restaurants!$C$2:$C$21,MATCH(B11,Restaurants!$A$2:$A$21,0)),"Not Listed")</f>
        <v>East</v>
      </c>
      <c r="G11" s="2"/>
      <c r="H11" s="2"/>
    </row>
    <row r="12" spans="1:8" x14ac:dyDescent="0.35">
      <c r="A12" s="8" t="s">
        <v>182</v>
      </c>
      <c r="B12" s="8" t="s">
        <v>137</v>
      </c>
      <c r="C12" s="9">
        <v>46278</v>
      </c>
      <c r="D12" s="11">
        <v>370</v>
      </c>
      <c r="E12" s="8" t="str">
        <f>_xlfn.XLOOKUP(B12,Restaurants!$A$2:$A$21,Restaurants!$B$2:$B$21,"Not Listed",0)</f>
        <v>Punjabi Dhaba Express</v>
      </c>
      <c r="F12" s="8" t="str">
        <f>IFERROR(INDEX(Restaurants!$C$2:$C$21,MATCH(B12,Restaurants!$A$2:$A$21,0)),"Not Listed")</f>
        <v>South</v>
      </c>
      <c r="G12" s="2"/>
      <c r="H12" s="2"/>
    </row>
    <row r="13" spans="1:8" x14ac:dyDescent="0.35">
      <c r="A13" s="8" t="s">
        <v>183</v>
      </c>
      <c r="B13" s="8" t="s">
        <v>153</v>
      </c>
      <c r="C13" s="9">
        <v>46278</v>
      </c>
      <c r="D13" s="11">
        <v>1010</v>
      </c>
      <c r="E13" s="8" t="str">
        <f>_xlfn.XLOOKUP(B13,Restaurants!$A$2:$A$21,Restaurants!$B$2:$B$21,"Not Listed",0)</f>
        <v>Chopstick Corner</v>
      </c>
      <c r="F13" s="8" t="str">
        <f>IFERROR(INDEX(Restaurants!$C$2:$C$21,MATCH(B13,Restaurants!$A$2:$A$21,0)),"Not Listed")</f>
        <v>West</v>
      </c>
      <c r="G13" s="2"/>
      <c r="H13" s="2"/>
    </row>
    <row r="14" spans="1:8" x14ac:dyDescent="0.35">
      <c r="A14" s="8" t="s">
        <v>184</v>
      </c>
      <c r="B14" s="8" t="s">
        <v>124</v>
      </c>
      <c r="C14" s="9">
        <v>46279</v>
      </c>
      <c r="D14" s="11">
        <v>1120</v>
      </c>
      <c r="E14" s="8" t="str">
        <f>_xlfn.XLOOKUP(B14,Restaurants!$A$2:$A$21,Restaurants!$B$2:$B$21,"Not Listed",0)</f>
        <v>Wok This Way</v>
      </c>
      <c r="F14" s="8" t="str">
        <f>IFERROR(INDEX(Restaurants!$C$2:$C$21,MATCH(B14,Restaurants!$A$2:$A$21,0)),"Not Listed")</f>
        <v>North</v>
      </c>
      <c r="G14" s="2"/>
      <c r="H14" s="2"/>
    </row>
    <row r="15" spans="1:8" x14ac:dyDescent="0.35">
      <c r="A15" s="8" t="s">
        <v>185</v>
      </c>
      <c r="B15" s="8" t="s">
        <v>150</v>
      </c>
      <c r="C15" s="9">
        <v>46280</v>
      </c>
      <c r="D15" s="11">
        <v>260</v>
      </c>
      <c r="E15" s="8" t="str">
        <f>_xlfn.XLOOKUP(B15,Restaurants!$A$2:$A$21,Restaurants!$B$2:$B$21,"Not Listed",0)</f>
        <v>Royal Biryani House</v>
      </c>
      <c r="F15" s="8" t="str">
        <f>IFERROR(INDEX(Restaurants!$C$2:$C$21,MATCH(B15,Restaurants!$A$2:$A$21,0)),"Not Listed")</f>
        <v>West</v>
      </c>
      <c r="G15" s="2"/>
      <c r="H15" s="2"/>
    </row>
    <row r="16" spans="1:8" x14ac:dyDescent="0.35">
      <c r="A16" s="8" t="s">
        <v>186</v>
      </c>
      <c r="B16" s="8" t="s">
        <v>120</v>
      </c>
      <c r="C16" s="9">
        <v>46284</v>
      </c>
      <c r="D16" s="11">
        <v>580</v>
      </c>
      <c r="E16" s="8" t="str">
        <f>_xlfn.XLOOKUP(B16,Restaurants!$A$2:$A$21,Restaurants!$B$2:$B$21,"Not Listed",0)</f>
        <v>Tandoori Tales</v>
      </c>
      <c r="F16" s="8" t="str">
        <f>IFERROR(INDEX(Restaurants!$C$2:$C$21,MATCH(B16,Restaurants!$A$2:$A$21,0)),"Not Listed")</f>
        <v>North</v>
      </c>
      <c r="G16" s="2"/>
      <c r="H16" s="2"/>
    </row>
    <row r="17" spans="1:8" x14ac:dyDescent="0.35">
      <c r="A17" s="8" t="s">
        <v>187</v>
      </c>
      <c r="B17" s="8" t="s">
        <v>155</v>
      </c>
      <c r="C17" s="9">
        <v>46285</v>
      </c>
      <c r="D17" s="11">
        <v>450</v>
      </c>
      <c r="E17" s="8" t="str">
        <f>_xlfn.XLOOKUP(B17,Restaurants!$A$2:$A$21,Restaurants!$B$2:$B$21,"Not Listed",0)</f>
        <v>Filter Coffee &amp; Meals</v>
      </c>
      <c r="F17" s="8" t="str">
        <f>IFERROR(INDEX(Restaurants!$C$2:$C$21,MATCH(B17,Restaurants!$A$2:$A$21,0)),"Not Listed")</f>
        <v>West</v>
      </c>
      <c r="G17" s="2"/>
      <c r="H17" s="2"/>
    </row>
    <row r="18" spans="1:8" x14ac:dyDescent="0.35">
      <c r="A18" s="8" t="s">
        <v>188</v>
      </c>
      <c r="B18" s="8" t="s">
        <v>135</v>
      </c>
      <c r="C18" s="9">
        <v>46285</v>
      </c>
      <c r="D18" s="11">
        <v>350</v>
      </c>
      <c r="E18" s="8" t="str">
        <f>_xlfn.XLOOKUP(B18,Restaurants!$A$2:$A$21,Restaurants!$B$2:$B$21,"Not Listed",0)</f>
        <v>Noodle Nest</v>
      </c>
      <c r="F18" s="8" t="str">
        <f>IFERROR(INDEX(Restaurants!$C$2:$C$21,MATCH(B18,Restaurants!$A$2:$A$21,0)),"Not Listed")</f>
        <v>South</v>
      </c>
      <c r="G18" s="2"/>
      <c r="H18" s="2"/>
    </row>
    <row r="19" spans="1:8" x14ac:dyDescent="0.35">
      <c r="A19" s="8" t="s">
        <v>189</v>
      </c>
      <c r="B19" s="8" t="s">
        <v>190</v>
      </c>
      <c r="C19" s="9">
        <v>46285</v>
      </c>
      <c r="D19" s="11">
        <v>190</v>
      </c>
      <c r="E19" s="8" t="str">
        <f>_xlfn.XLOOKUP(B19,Restaurants!$A$2:$A$21,Restaurants!$B$2:$B$21,"Not Listed",0)</f>
        <v>Not Listed</v>
      </c>
      <c r="F19" s="8" t="str">
        <f>IFERROR(INDEX(Restaurants!$C$2:$C$21,MATCH(B19,Restaurants!$A$2:$A$21,0)),"Not Listed")</f>
        <v>Not Listed</v>
      </c>
      <c r="G19" s="2"/>
      <c r="H19" s="2"/>
    </row>
    <row r="20" spans="1:8" x14ac:dyDescent="0.35">
      <c r="A20" s="8" t="s">
        <v>191</v>
      </c>
      <c r="B20" s="8" t="s">
        <v>135</v>
      </c>
      <c r="C20" s="9">
        <v>46286</v>
      </c>
      <c r="D20" s="11">
        <v>710</v>
      </c>
      <c r="E20" s="8" t="str">
        <f>_xlfn.XLOOKUP(B20,Restaurants!$A$2:$A$21,Restaurants!$B$2:$B$21,"Not Listed",0)</f>
        <v>Noodle Nest</v>
      </c>
      <c r="F20" s="8" t="str">
        <f>IFERROR(INDEX(Restaurants!$C$2:$C$21,MATCH(B20,Restaurants!$A$2:$A$21,0)),"Not Listed")</f>
        <v>South</v>
      </c>
      <c r="G20" s="2"/>
      <c r="H20" s="2"/>
    </row>
    <row r="21" spans="1:8" x14ac:dyDescent="0.35">
      <c r="A21" s="8" t="s">
        <v>192</v>
      </c>
      <c r="B21" s="8" t="s">
        <v>153</v>
      </c>
      <c r="C21" s="9">
        <v>46286</v>
      </c>
      <c r="D21" s="11">
        <v>310</v>
      </c>
      <c r="E21" s="8" t="str">
        <f>_xlfn.XLOOKUP(B21,Restaurants!$A$2:$A$21,Restaurants!$B$2:$B$21,"Not Listed",0)</f>
        <v>Chopstick Corner</v>
      </c>
      <c r="F21" s="8" t="str">
        <f>IFERROR(INDEX(Restaurants!$C$2:$C$21,MATCH(B21,Restaurants!$A$2:$A$21,0)),"Not Listed")</f>
        <v>West</v>
      </c>
      <c r="G21" s="2"/>
      <c r="H21" s="2"/>
    </row>
    <row r="22" spans="1:8" x14ac:dyDescent="0.35">
      <c r="A22" s="8" t="s">
        <v>193</v>
      </c>
      <c r="B22" s="8" t="s">
        <v>135</v>
      </c>
      <c r="C22" s="9">
        <v>46287</v>
      </c>
      <c r="D22" s="11">
        <v>510</v>
      </c>
      <c r="E22" s="8" t="str">
        <f>_xlfn.XLOOKUP(B22,Restaurants!$A$2:$A$21,Restaurants!$B$2:$B$21,"Not Listed",0)</f>
        <v>Noodle Nest</v>
      </c>
      <c r="F22" s="8" t="str">
        <f>IFERROR(INDEX(Restaurants!$C$2:$C$21,MATCH(B22,Restaurants!$A$2:$A$21,0)),"Not Listed")</f>
        <v>South</v>
      </c>
      <c r="G22" s="2"/>
      <c r="H22" s="2"/>
    </row>
    <row r="23" spans="1:8" x14ac:dyDescent="0.35">
      <c r="A23" s="8" t="s">
        <v>194</v>
      </c>
      <c r="B23" s="8" t="s">
        <v>146</v>
      </c>
      <c r="C23" s="9">
        <v>46287</v>
      </c>
      <c r="D23" s="11">
        <v>470</v>
      </c>
      <c r="E23" s="8" t="str">
        <f>_xlfn.XLOOKUP(B23,Restaurants!$A$2:$A$21,Restaurants!$B$2:$B$21,"Not Listed",0)</f>
        <v>Idli Express</v>
      </c>
      <c r="F23" s="8" t="str">
        <f>IFERROR(INDEX(Restaurants!$C$2:$C$21,MATCH(B23,Restaurants!$A$2:$A$21,0)),"Not Listed")</f>
        <v>East</v>
      </c>
      <c r="G23" s="2"/>
      <c r="H23" s="2"/>
    </row>
    <row r="24" spans="1:8" x14ac:dyDescent="0.35">
      <c r="A24" s="8" t="s">
        <v>195</v>
      </c>
      <c r="B24" s="8" t="s">
        <v>164</v>
      </c>
      <c r="C24" s="9">
        <v>46288</v>
      </c>
      <c r="D24" s="11">
        <v>1040</v>
      </c>
      <c r="E24" s="8" t="str">
        <f>_xlfn.XLOOKUP(B24,Restaurants!$A$2:$A$21,Restaurants!$B$2:$B$21,"Not Listed",0)</f>
        <v>Sambar Spot</v>
      </c>
      <c r="F24" s="8" t="str">
        <f>IFERROR(INDEX(Restaurants!$C$2:$C$21,MATCH(B24,Restaurants!$A$2:$A$21,0)),"Not Listed")</f>
        <v>Central</v>
      </c>
      <c r="G24" s="2"/>
      <c r="H24" s="2"/>
    </row>
    <row r="25" spans="1:8" x14ac:dyDescent="0.35">
      <c r="A25" s="8" t="s">
        <v>196</v>
      </c>
      <c r="B25" s="8" t="s">
        <v>162</v>
      </c>
      <c r="C25" s="9">
        <v>46291</v>
      </c>
      <c r="D25" s="11">
        <v>760</v>
      </c>
      <c r="E25" s="8" t="str">
        <f>_xlfn.XLOOKUP(B25,Restaurants!$A$2:$A$21,Restaurants!$B$2:$B$21,"Not Listed",0)</f>
        <v>Noodle Station</v>
      </c>
      <c r="F25" s="8" t="str">
        <f>IFERROR(INDEX(Restaurants!$C$2:$C$21,MATCH(B25,Restaurants!$A$2:$A$21,0)),"Not Listed")</f>
        <v>Central</v>
      </c>
      <c r="G25" s="2"/>
      <c r="H25" s="2"/>
    </row>
    <row r="26" spans="1:8" x14ac:dyDescent="0.35">
      <c r="A26" s="2"/>
      <c r="B26" s="2"/>
      <c r="C26" s="2"/>
      <c r="D26" s="2"/>
      <c r="E26" s="2"/>
      <c r="F26" s="2"/>
      <c r="G26" s="2"/>
      <c r="H26" s="2"/>
    </row>
    <row r="27" spans="1:8" x14ac:dyDescent="0.35">
      <c r="A27" s="2"/>
      <c r="B27" s="2"/>
      <c r="C27" s="2"/>
      <c r="D27" s="2"/>
      <c r="E27" s="2"/>
      <c r="F27" s="2"/>
      <c r="G27" s="2"/>
      <c r="H27" s="2"/>
    </row>
    <row r="28" spans="1:8" x14ac:dyDescent="0.35">
      <c r="A28" s="6" t="s">
        <v>197</v>
      </c>
      <c r="B28" s="2"/>
      <c r="C28" s="2"/>
      <c r="D28" s="2"/>
      <c r="E28" s="2"/>
      <c r="F28" s="2"/>
      <c r="G28" s="2"/>
      <c r="H28" s="2"/>
    </row>
    <row r="29" spans="1:8" ht="26" x14ac:dyDescent="0.35">
      <c r="A29" s="4" t="s">
        <v>117</v>
      </c>
      <c r="B29" s="4" t="s">
        <v>198</v>
      </c>
      <c r="C29" s="4" t="s">
        <v>199</v>
      </c>
      <c r="D29" s="2"/>
      <c r="E29" s="2"/>
      <c r="F29" s="2"/>
      <c r="G29" s="2"/>
      <c r="H29" s="2"/>
    </row>
    <row r="30" spans="1:8" x14ac:dyDescent="0.35">
      <c r="A30" s="8" t="str">
        <f t="array" ref="A30">IFERROR(INDEX(Restaurants!$C$2:$C$21,MATCH(0,COUNTIF($A$29:A29,Restaurants!$C$2:$C$21),0)),"")</f>
        <v>North</v>
      </c>
      <c r="B30" s="15">
        <f t="shared" ref="B30:B35" si="0">IFERROR(AVERAGEIF($F$2:$F$25,A30,$D$2:$D$25),"No orders")</f>
        <v>586.66666666666663</v>
      </c>
      <c r="C30" s="8">
        <f t="shared" ref="C30:C35" si="1">COUNTIF($F$2:$F$25,A30)</f>
        <v>6</v>
      </c>
      <c r="D30" s="2"/>
      <c r="E30" s="2"/>
      <c r="F30" s="2"/>
      <c r="G30" s="2"/>
      <c r="H30" s="2"/>
    </row>
    <row r="31" spans="1:8" x14ac:dyDescent="0.35">
      <c r="A31" s="8" t="str">
        <f t="array" ref="A31">IFERROR(INDEX(Restaurants!$C$2:$C$21,MATCH(0,COUNTIF($A$29:A30,Restaurants!$C$2:$C$21),0)),"")</f>
        <v>South</v>
      </c>
      <c r="B31" s="15">
        <f t="shared" si="0"/>
        <v>643.33333333333337</v>
      </c>
      <c r="C31" s="8">
        <f t="shared" si="1"/>
        <v>6</v>
      </c>
      <c r="D31" s="2"/>
      <c r="E31" s="2"/>
      <c r="F31" s="2"/>
      <c r="G31" s="2"/>
      <c r="H31" s="2"/>
    </row>
    <row r="32" spans="1:8" x14ac:dyDescent="0.35">
      <c r="A32" s="8" t="str">
        <f t="array" ref="A32">IFERROR(INDEX(Restaurants!$C$2:$C$21,MATCH(0,COUNTIF($A$29:A31,Restaurants!$C$2:$C$21),0)),"")</f>
        <v>East</v>
      </c>
      <c r="B32" s="15">
        <f t="shared" si="0"/>
        <v>372.5</v>
      </c>
      <c r="C32" s="8">
        <f t="shared" si="1"/>
        <v>4</v>
      </c>
      <c r="D32" s="2"/>
      <c r="E32" s="2"/>
      <c r="F32" s="2"/>
      <c r="G32" s="2"/>
      <c r="H32" s="2"/>
    </row>
    <row r="33" spans="1:8" x14ac:dyDescent="0.35">
      <c r="A33" s="8" t="str">
        <f t="array" ref="A33">IFERROR(INDEX(Restaurants!$C$2:$C$21,MATCH(0,COUNTIF($A$29:A32,Restaurants!$C$2:$C$21),0)),"")</f>
        <v>West</v>
      </c>
      <c r="B33" s="15">
        <f t="shared" si="0"/>
        <v>507.5</v>
      </c>
      <c r="C33" s="8">
        <f t="shared" si="1"/>
        <v>4</v>
      </c>
      <c r="D33" s="2"/>
      <c r="E33" s="2"/>
      <c r="F33" s="2"/>
      <c r="G33" s="2"/>
      <c r="H33" s="2"/>
    </row>
    <row r="34" spans="1:8" x14ac:dyDescent="0.35">
      <c r="A34" s="8" t="str">
        <f t="array" ref="A34">IFERROR(INDEX(Restaurants!$C$2:$C$21,MATCH(0,COUNTIF($A$29:A33,Restaurants!$C$2:$C$21),0)),"")</f>
        <v>Central</v>
      </c>
      <c r="B34" s="15">
        <f t="shared" si="0"/>
        <v>900</v>
      </c>
      <c r="C34" s="8">
        <f t="shared" si="1"/>
        <v>2</v>
      </c>
      <c r="D34" s="2"/>
      <c r="E34" s="2"/>
      <c r="F34" s="2"/>
      <c r="G34" s="2"/>
      <c r="H34" s="2"/>
    </row>
    <row r="35" spans="1:8" x14ac:dyDescent="0.35">
      <c r="A35" s="8" t="s">
        <v>200</v>
      </c>
      <c r="B35" s="15">
        <f t="shared" si="0"/>
        <v>315</v>
      </c>
      <c r="C35" s="8">
        <f t="shared" si="1"/>
        <v>2</v>
      </c>
      <c r="D35" s="2"/>
      <c r="E35" s="2"/>
      <c r="F35" s="2"/>
      <c r="G35" s="2"/>
      <c r="H35" s="2"/>
    </row>
    <row r="36" spans="1:8" x14ac:dyDescent="0.35">
      <c r="A36" s="16" t="s">
        <v>201</v>
      </c>
      <c r="B36" s="17">
        <f>AVERAGE($D$2:$D$25)</f>
        <v>555.41666666666663</v>
      </c>
      <c r="C36" s="16">
        <f>COUNTA($A$2:$A$25)</f>
        <v>24</v>
      </c>
      <c r="D36" s="2"/>
      <c r="E36" s="2"/>
      <c r="F36" s="2"/>
      <c r="G36" s="2"/>
      <c r="H36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21"/>
  <sheetViews>
    <sheetView workbookViewId="0">
      <pane ySplit="1" topLeftCell="A33" activePane="bottomLeft" state="frozen"/>
      <selection pane="bottomLeft" activeCell="B52" sqref="B52"/>
    </sheetView>
  </sheetViews>
  <sheetFormatPr defaultRowHeight="14.5" x14ac:dyDescent="0.35"/>
  <cols>
    <col min="1" max="1" width="11" customWidth="1"/>
    <col min="2" max="2" width="13" customWidth="1"/>
    <col min="3" max="3" width="14" customWidth="1"/>
    <col min="4" max="4" width="10" customWidth="1"/>
    <col min="5" max="6" width="13" customWidth="1"/>
    <col min="7" max="7" width="8" customWidth="1"/>
    <col min="8" max="8" width="10" customWidth="1"/>
    <col min="9" max="9" width="11" customWidth="1"/>
    <col min="10" max="10" width="24" customWidth="1"/>
    <col min="11" max="11" width="15" customWidth="1"/>
    <col min="12" max="12" width="8" customWidth="1"/>
    <col min="13" max="13" width="12" customWidth="1"/>
  </cols>
  <sheetData>
    <row r="1" spans="1:13" x14ac:dyDescent="0.35">
      <c r="A1" s="4" t="s">
        <v>33</v>
      </c>
      <c r="B1" s="4" t="s">
        <v>115</v>
      </c>
      <c r="C1" s="4" t="s">
        <v>35</v>
      </c>
      <c r="D1" s="4" t="s">
        <v>117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5</v>
      </c>
      <c r="J1" s="4" t="s">
        <v>116</v>
      </c>
      <c r="K1" s="4" t="s">
        <v>118</v>
      </c>
      <c r="L1" s="4" t="s">
        <v>199</v>
      </c>
      <c r="M1" s="4" t="s">
        <v>202</v>
      </c>
    </row>
    <row r="2" spans="1:13" x14ac:dyDescent="0.35">
      <c r="A2" s="7" t="s">
        <v>203</v>
      </c>
      <c r="B2" s="7" t="s">
        <v>124</v>
      </c>
      <c r="C2" s="7" t="s">
        <v>47</v>
      </c>
      <c r="D2" s="7" t="s">
        <v>122</v>
      </c>
      <c r="E2" s="18">
        <v>46204</v>
      </c>
      <c r="F2" s="19">
        <v>26</v>
      </c>
      <c r="G2" s="19">
        <v>4</v>
      </c>
      <c r="H2" s="20">
        <v>250</v>
      </c>
      <c r="I2" s="7" t="s">
        <v>44</v>
      </c>
      <c r="J2" s="7" t="str">
        <f>_xlfn.XLOOKUP(B2,Restaurants!$A$2:$A$21,Restaurants!$B$2:$B$21,"Unknown",0)</f>
        <v>Wok This Way</v>
      </c>
      <c r="K2" s="7" t="str">
        <f>_xlfn.XLOOKUP(B2,Restaurants!$A$2:$A$21,Restaurants!$D$2:$D$21,"Unknown",0)</f>
        <v>Cloud Kitchen</v>
      </c>
      <c r="L2" s="19">
        <v>1</v>
      </c>
      <c r="M2" s="19" t="str">
        <f>IF(OR(F2&lt;'Stats Summary'!$B$17,F2&gt;'Stats Summary'!$B$18),"Yes","No")</f>
        <v>No</v>
      </c>
    </row>
    <row r="3" spans="1:13" x14ac:dyDescent="0.35">
      <c r="A3" s="7" t="s">
        <v>204</v>
      </c>
      <c r="B3" s="7" t="s">
        <v>155</v>
      </c>
      <c r="C3" s="7" t="s">
        <v>50</v>
      </c>
      <c r="D3" s="7" t="s">
        <v>152</v>
      </c>
      <c r="E3" s="18">
        <v>46204</v>
      </c>
      <c r="F3" s="19">
        <v>27</v>
      </c>
      <c r="G3" s="19">
        <v>5</v>
      </c>
      <c r="H3" s="20">
        <v>310</v>
      </c>
      <c r="I3" s="7" t="s">
        <v>44</v>
      </c>
      <c r="J3" s="7" t="str">
        <f>_xlfn.XLOOKUP(B3,Restaurants!$A$2:$A$21,Restaurants!$B$2:$B$21,"Unknown",0)</f>
        <v>Filter Coffee &amp; Meals</v>
      </c>
      <c r="K3" s="7" t="str">
        <f>_xlfn.XLOOKUP(B3,Restaurants!$A$2:$A$21,Restaurants!$D$2:$D$21,"Unknown",0)</f>
        <v>Dine-in</v>
      </c>
      <c r="L3" s="19">
        <v>1</v>
      </c>
      <c r="M3" s="19" t="str">
        <f>IF(OR(F3&lt;'Stats Summary'!$B$17,F3&gt;'Stats Summary'!$B$18),"Yes","No")</f>
        <v>No</v>
      </c>
    </row>
    <row r="4" spans="1:13" x14ac:dyDescent="0.35">
      <c r="A4" s="7" t="s">
        <v>205</v>
      </c>
      <c r="B4" s="7" t="s">
        <v>155</v>
      </c>
      <c r="C4" s="7" t="s">
        <v>50</v>
      </c>
      <c r="D4" s="7" t="s">
        <v>152</v>
      </c>
      <c r="E4" s="18">
        <v>46205</v>
      </c>
      <c r="F4" s="19">
        <v>25</v>
      </c>
      <c r="G4" s="19">
        <v>4</v>
      </c>
      <c r="H4" s="20">
        <v>165</v>
      </c>
      <c r="I4" s="7" t="s">
        <v>44</v>
      </c>
      <c r="J4" s="7" t="str">
        <f>_xlfn.XLOOKUP(B4,Restaurants!$A$2:$A$21,Restaurants!$B$2:$B$21,"Unknown",0)</f>
        <v>Filter Coffee &amp; Meals</v>
      </c>
      <c r="K4" s="7" t="str">
        <f>_xlfn.XLOOKUP(B4,Restaurants!$A$2:$A$21,Restaurants!$D$2:$D$21,"Unknown",0)</f>
        <v>Dine-in</v>
      </c>
      <c r="L4" s="19">
        <v>1</v>
      </c>
      <c r="M4" s="19" t="str">
        <f>IF(OR(F4&lt;'Stats Summary'!$B$17,F4&gt;'Stats Summary'!$B$18),"Yes","No")</f>
        <v>No</v>
      </c>
    </row>
    <row r="5" spans="1:13" x14ac:dyDescent="0.35">
      <c r="A5" s="7" t="s">
        <v>206</v>
      </c>
      <c r="B5" s="7" t="s">
        <v>127</v>
      </c>
      <c r="C5" s="7" t="s">
        <v>55</v>
      </c>
      <c r="D5" s="7" t="s">
        <v>122</v>
      </c>
      <c r="E5" s="18">
        <v>46206</v>
      </c>
      <c r="F5" s="19">
        <v>25</v>
      </c>
      <c r="G5" s="19">
        <v>5</v>
      </c>
      <c r="H5" s="20">
        <v>525</v>
      </c>
      <c r="I5" s="7" t="s">
        <v>44</v>
      </c>
      <c r="J5" s="7" t="str">
        <f>_xlfn.XLOOKUP(B5,Restaurants!$A$2:$A$21,Restaurants!$B$2:$B$21,"Unknown",0)</f>
        <v>Burger Barn</v>
      </c>
      <c r="K5" s="7" t="str">
        <f>_xlfn.XLOOKUP(B5,Restaurants!$A$2:$A$21,Restaurants!$D$2:$D$21,"Unknown",0)</f>
        <v>QSR</v>
      </c>
      <c r="L5" s="19">
        <v>1</v>
      </c>
      <c r="M5" s="19" t="str">
        <f>IF(OR(F5&lt;'Stats Summary'!$B$17,F5&gt;'Stats Summary'!$B$18),"Yes","No")</f>
        <v>No</v>
      </c>
    </row>
    <row r="6" spans="1:13" x14ac:dyDescent="0.35">
      <c r="A6" s="7" t="s">
        <v>207</v>
      </c>
      <c r="B6" s="7" t="s">
        <v>164</v>
      </c>
      <c r="C6" s="7" t="s">
        <v>50</v>
      </c>
      <c r="D6" s="7" t="s">
        <v>161</v>
      </c>
      <c r="E6" s="18">
        <v>46207</v>
      </c>
      <c r="F6" s="19">
        <v>29</v>
      </c>
      <c r="G6" s="19">
        <v>5</v>
      </c>
      <c r="H6" s="20">
        <v>390</v>
      </c>
      <c r="I6" s="7" t="s">
        <v>44</v>
      </c>
      <c r="J6" s="7" t="str">
        <f>_xlfn.XLOOKUP(B6,Restaurants!$A$2:$A$21,Restaurants!$B$2:$B$21,"Unknown",0)</f>
        <v>Sambar Spot</v>
      </c>
      <c r="K6" s="7" t="str">
        <f>_xlfn.XLOOKUP(B6,Restaurants!$A$2:$A$21,Restaurants!$D$2:$D$21,"Unknown",0)</f>
        <v>Cloud Kitchen</v>
      </c>
      <c r="L6" s="19">
        <v>1</v>
      </c>
      <c r="M6" s="19" t="str">
        <f>IF(OR(F6&lt;'Stats Summary'!$B$17,F6&gt;'Stats Summary'!$B$18),"Yes","No")</f>
        <v>No</v>
      </c>
    </row>
    <row r="7" spans="1:13" x14ac:dyDescent="0.35">
      <c r="A7" s="7" t="s">
        <v>208</v>
      </c>
      <c r="B7" s="7" t="s">
        <v>164</v>
      </c>
      <c r="C7" s="7" t="s">
        <v>50</v>
      </c>
      <c r="D7" s="7" t="s">
        <v>161</v>
      </c>
      <c r="E7" s="18">
        <v>46207</v>
      </c>
      <c r="F7" s="19">
        <v>33</v>
      </c>
      <c r="G7" s="19">
        <v>4</v>
      </c>
      <c r="H7" s="20">
        <v>525</v>
      </c>
      <c r="I7" s="7" t="s">
        <v>44</v>
      </c>
      <c r="J7" s="7" t="str">
        <f>_xlfn.XLOOKUP(B7,Restaurants!$A$2:$A$21,Restaurants!$B$2:$B$21,"Unknown",0)</f>
        <v>Sambar Spot</v>
      </c>
      <c r="K7" s="7" t="str">
        <f>_xlfn.XLOOKUP(B7,Restaurants!$A$2:$A$21,Restaurants!$D$2:$D$21,"Unknown",0)</f>
        <v>Cloud Kitchen</v>
      </c>
      <c r="L7" s="19">
        <v>1</v>
      </c>
      <c r="M7" s="19" t="str">
        <f>IF(OR(F7&lt;'Stats Summary'!$B$17,F7&gt;'Stats Summary'!$B$18),"Yes","No")</f>
        <v>No</v>
      </c>
    </row>
    <row r="8" spans="1:13" x14ac:dyDescent="0.35">
      <c r="A8" s="7" t="s">
        <v>209</v>
      </c>
      <c r="B8" s="7" t="s">
        <v>144</v>
      </c>
      <c r="C8" s="7" t="s">
        <v>47</v>
      </c>
      <c r="D8" s="7" t="s">
        <v>143</v>
      </c>
      <c r="E8" s="18">
        <v>46207</v>
      </c>
      <c r="F8" s="19">
        <v>36</v>
      </c>
      <c r="G8" s="19">
        <v>5</v>
      </c>
      <c r="H8" s="20">
        <v>300</v>
      </c>
      <c r="I8" s="7" t="s">
        <v>44</v>
      </c>
      <c r="J8" s="7" t="str">
        <f>_xlfn.XLOOKUP(B8,Restaurants!$A$2:$A$21,Restaurants!$B$2:$B$21,"Unknown",0)</f>
        <v>Dragon Bowl</v>
      </c>
      <c r="K8" s="7" t="str">
        <f>_xlfn.XLOOKUP(B8,Restaurants!$A$2:$A$21,Restaurants!$D$2:$D$21,"Unknown",0)</f>
        <v>Dine-in</v>
      </c>
      <c r="L8" s="19">
        <v>1</v>
      </c>
      <c r="M8" s="19" t="str">
        <f>IF(OR(F8&lt;'Stats Summary'!$B$17,F8&gt;'Stats Summary'!$B$18),"Yes","No")</f>
        <v>No</v>
      </c>
    </row>
    <row r="9" spans="1:13" x14ac:dyDescent="0.35">
      <c r="A9" s="7" t="s">
        <v>210</v>
      </c>
      <c r="B9" s="7" t="s">
        <v>157</v>
      </c>
      <c r="C9" s="7" t="s">
        <v>55</v>
      </c>
      <c r="D9" s="7" t="s">
        <v>152</v>
      </c>
      <c r="E9" s="18">
        <v>46211</v>
      </c>
      <c r="F9" s="19">
        <v>15</v>
      </c>
      <c r="G9" s="19">
        <v>5</v>
      </c>
      <c r="H9" s="20">
        <v>180</v>
      </c>
      <c r="I9" s="7" t="s">
        <v>44</v>
      </c>
      <c r="J9" s="7" t="str">
        <f>_xlfn.XLOOKUP(B9,Restaurants!$A$2:$A$21,Restaurants!$B$2:$B$21,"Unknown",0)</f>
        <v>Wrap &amp; Roll</v>
      </c>
      <c r="K9" s="7" t="str">
        <f>_xlfn.XLOOKUP(B9,Restaurants!$A$2:$A$21,Restaurants!$D$2:$D$21,"Unknown",0)</f>
        <v>QSR</v>
      </c>
      <c r="L9" s="19">
        <v>1</v>
      </c>
      <c r="M9" s="19" t="str">
        <f>IF(OR(F9&lt;'Stats Summary'!$B$17,F9&gt;'Stats Summary'!$B$18),"Yes","No")</f>
        <v>No</v>
      </c>
    </row>
    <row r="10" spans="1:13" x14ac:dyDescent="0.35">
      <c r="A10" s="7" t="s">
        <v>211</v>
      </c>
      <c r="B10" s="7" t="s">
        <v>164</v>
      </c>
      <c r="C10" s="7" t="s">
        <v>50</v>
      </c>
      <c r="D10" s="7" t="s">
        <v>161</v>
      </c>
      <c r="E10" s="18">
        <v>46211</v>
      </c>
      <c r="F10" s="19">
        <v>46</v>
      </c>
      <c r="G10" s="19">
        <v>4</v>
      </c>
      <c r="H10" s="20">
        <v>405</v>
      </c>
      <c r="I10" s="7" t="s">
        <v>75</v>
      </c>
      <c r="J10" s="7" t="str">
        <f>_xlfn.XLOOKUP(B10,Restaurants!$A$2:$A$21,Restaurants!$B$2:$B$21,"Unknown",0)</f>
        <v>Sambar Spot</v>
      </c>
      <c r="K10" s="7" t="str">
        <f>_xlfn.XLOOKUP(B10,Restaurants!$A$2:$A$21,Restaurants!$D$2:$D$21,"Unknown",0)</f>
        <v>Cloud Kitchen</v>
      </c>
      <c r="L10" s="19">
        <v>1</v>
      </c>
      <c r="M10" s="19" t="str">
        <f>IF(OR(F10&lt;'Stats Summary'!$B$17,F10&gt;'Stats Summary'!$B$18),"Yes","No")</f>
        <v>No</v>
      </c>
    </row>
    <row r="11" spans="1:13" x14ac:dyDescent="0.35">
      <c r="A11" s="7" t="s">
        <v>212</v>
      </c>
      <c r="B11" s="7" t="s">
        <v>137</v>
      </c>
      <c r="C11" s="7" t="s">
        <v>43</v>
      </c>
      <c r="D11" s="7" t="s">
        <v>134</v>
      </c>
      <c r="E11" s="18">
        <v>46212</v>
      </c>
      <c r="F11" s="19">
        <v>20</v>
      </c>
      <c r="G11" s="19">
        <v>5</v>
      </c>
      <c r="H11" s="20">
        <v>395</v>
      </c>
      <c r="I11" s="7" t="s">
        <v>44</v>
      </c>
      <c r="J11" s="7" t="str">
        <f>_xlfn.XLOOKUP(B11,Restaurants!$A$2:$A$21,Restaurants!$B$2:$B$21,"Unknown",0)</f>
        <v>Punjabi Dhaba Express</v>
      </c>
      <c r="K11" s="7" t="str">
        <f>_xlfn.XLOOKUP(B11,Restaurants!$A$2:$A$21,Restaurants!$D$2:$D$21,"Unknown",0)</f>
        <v>QSR</v>
      </c>
      <c r="L11" s="19">
        <v>1</v>
      </c>
      <c r="M11" s="19" t="str">
        <f>IF(OR(F11&lt;'Stats Summary'!$B$17,F11&gt;'Stats Summary'!$B$18),"Yes","No")</f>
        <v>No</v>
      </c>
    </row>
    <row r="12" spans="1:13" x14ac:dyDescent="0.35">
      <c r="A12" s="7" t="s">
        <v>213</v>
      </c>
      <c r="B12" s="7" t="s">
        <v>124</v>
      </c>
      <c r="C12" s="7" t="s">
        <v>47</v>
      </c>
      <c r="D12" s="7" t="s">
        <v>122</v>
      </c>
      <c r="E12" s="18">
        <v>46213</v>
      </c>
      <c r="F12" s="19">
        <v>28</v>
      </c>
      <c r="G12" s="19">
        <v>5</v>
      </c>
      <c r="H12" s="20">
        <v>470</v>
      </c>
      <c r="I12" s="7" t="s">
        <v>44</v>
      </c>
      <c r="J12" s="7" t="str">
        <f>_xlfn.XLOOKUP(B12,Restaurants!$A$2:$A$21,Restaurants!$B$2:$B$21,"Unknown",0)</f>
        <v>Wok This Way</v>
      </c>
      <c r="K12" s="7" t="str">
        <f>_xlfn.XLOOKUP(B12,Restaurants!$A$2:$A$21,Restaurants!$D$2:$D$21,"Unknown",0)</f>
        <v>Cloud Kitchen</v>
      </c>
      <c r="L12" s="19">
        <v>1</v>
      </c>
      <c r="M12" s="19" t="str">
        <f>IF(OR(F12&lt;'Stats Summary'!$B$17,F12&gt;'Stats Summary'!$B$18),"Yes","No")</f>
        <v>No</v>
      </c>
    </row>
    <row r="13" spans="1:13" x14ac:dyDescent="0.35">
      <c r="A13" s="7" t="s">
        <v>214</v>
      </c>
      <c r="B13" s="7" t="s">
        <v>144</v>
      </c>
      <c r="C13" s="7" t="s">
        <v>47</v>
      </c>
      <c r="D13" s="7" t="s">
        <v>143</v>
      </c>
      <c r="E13" s="18">
        <v>46213</v>
      </c>
      <c r="F13" s="19">
        <v>43</v>
      </c>
      <c r="G13" s="19">
        <v>3</v>
      </c>
      <c r="H13" s="20">
        <v>325</v>
      </c>
      <c r="I13" s="7" t="s">
        <v>44</v>
      </c>
      <c r="J13" s="7" t="str">
        <f>_xlfn.XLOOKUP(B13,Restaurants!$A$2:$A$21,Restaurants!$B$2:$B$21,"Unknown",0)</f>
        <v>Dragon Bowl</v>
      </c>
      <c r="K13" s="7" t="str">
        <f>_xlfn.XLOOKUP(B13,Restaurants!$A$2:$A$21,Restaurants!$D$2:$D$21,"Unknown",0)</f>
        <v>Dine-in</v>
      </c>
      <c r="L13" s="19">
        <v>1</v>
      </c>
      <c r="M13" s="19" t="str">
        <f>IF(OR(F13&lt;'Stats Summary'!$B$17,F13&gt;'Stats Summary'!$B$18),"Yes","No")</f>
        <v>No</v>
      </c>
    </row>
    <row r="14" spans="1:13" x14ac:dyDescent="0.35">
      <c r="A14" s="7" t="s">
        <v>215</v>
      </c>
      <c r="B14" s="7" t="s">
        <v>135</v>
      </c>
      <c r="C14" s="7" t="s">
        <v>47</v>
      </c>
      <c r="D14" s="7" t="s">
        <v>134</v>
      </c>
      <c r="E14" s="18">
        <v>46214</v>
      </c>
      <c r="F14" s="19">
        <v>28</v>
      </c>
      <c r="G14" s="19">
        <v>5</v>
      </c>
      <c r="H14" s="20">
        <v>420</v>
      </c>
      <c r="I14" s="7" t="s">
        <v>44</v>
      </c>
      <c r="J14" s="7" t="str">
        <f>_xlfn.XLOOKUP(B14,Restaurants!$A$2:$A$21,Restaurants!$B$2:$B$21,"Unknown",0)</f>
        <v>Noodle Nest</v>
      </c>
      <c r="K14" s="7" t="str">
        <f>_xlfn.XLOOKUP(B14,Restaurants!$A$2:$A$21,Restaurants!$D$2:$D$21,"Unknown",0)</f>
        <v>QSR</v>
      </c>
      <c r="L14" s="19">
        <v>1</v>
      </c>
      <c r="M14" s="19" t="str">
        <f>IF(OR(F14&lt;'Stats Summary'!$B$17,F14&gt;'Stats Summary'!$B$18),"Yes","No")</f>
        <v>No</v>
      </c>
    </row>
    <row r="15" spans="1:13" x14ac:dyDescent="0.35">
      <c r="A15" s="7" t="s">
        <v>216</v>
      </c>
      <c r="B15" s="7" t="s">
        <v>157</v>
      </c>
      <c r="C15" s="7" t="s">
        <v>55</v>
      </c>
      <c r="D15" s="7" t="s">
        <v>152</v>
      </c>
      <c r="E15" s="18">
        <v>46217</v>
      </c>
      <c r="F15" s="19">
        <v>33</v>
      </c>
      <c r="G15" s="19">
        <v>5</v>
      </c>
      <c r="H15" s="20">
        <v>550</v>
      </c>
      <c r="I15" s="7" t="s">
        <v>44</v>
      </c>
      <c r="J15" s="7" t="str">
        <f>_xlfn.XLOOKUP(B15,Restaurants!$A$2:$A$21,Restaurants!$B$2:$B$21,"Unknown",0)</f>
        <v>Wrap &amp; Roll</v>
      </c>
      <c r="K15" s="7" t="str">
        <f>_xlfn.XLOOKUP(B15,Restaurants!$A$2:$A$21,Restaurants!$D$2:$D$21,"Unknown",0)</f>
        <v>QSR</v>
      </c>
      <c r="L15" s="19">
        <v>1</v>
      </c>
      <c r="M15" s="19" t="str">
        <f>IF(OR(F15&lt;'Stats Summary'!$B$17,F15&gt;'Stats Summary'!$B$18),"Yes","No")</f>
        <v>No</v>
      </c>
    </row>
    <row r="16" spans="1:13" x14ac:dyDescent="0.35">
      <c r="A16" s="7" t="s">
        <v>217</v>
      </c>
      <c r="B16" s="7" t="s">
        <v>137</v>
      </c>
      <c r="C16" s="7" t="s">
        <v>43</v>
      </c>
      <c r="D16" s="7" t="s">
        <v>134</v>
      </c>
      <c r="E16" s="18">
        <v>46218</v>
      </c>
      <c r="F16" s="19">
        <v>24</v>
      </c>
      <c r="G16" s="19">
        <v>5</v>
      </c>
      <c r="H16" s="20">
        <v>705</v>
      </c>
      <c r="I16" s="7" t="s">
        <v>44</v>
      </c>
      <c r="J16" s="7" t="str">
        <f>_xlfn.XLOOKUP(B16,Restaurants!$A$2:$A$21,Restaurants!$B$2:$B$21,"Unknown",0)</f>
        <v>Punjabi Dhaba Express</v>
      </c>
      <c r="K16" s="7" t="str">
        <f>_xlfn.XLOOKUP(B16,Restaurants!$A$2:$A$21,Restaurants!$D$2:$D$21,"Unknown",0)</f>
        <v>QSR</v>
      </c>
      <c r="L16" s="19">
        <v>1</v>
      </c>
      <c r="M16" s="19" t="str">
        <f>IF(OR(F16&lt;'Stats Summary'!$B$17,F16&gt;'Stats Summary'!$B$18),"Yes","No")</f>
        <v>No</v>
      </c>
    </row>
    <row r="17" spans="1:13" x14ac:dyDescent="0.35">
      <c r="A17" s="7" t="s">
        <v>218</v>
      </c>
      <c r="B17" s="7" t="s">
        <v>146</v>
      </c>
      <c r="C17" s="7" t="s">
        <v>50</v>
      </c>
      <c r="D17" s="7" t="s">
        <v>143</v>
      </c>
      <c r="E17" s="18">
        <v>46218</v>
      </c>
      <c r="F17" s="19">
        <v>36</v>
      </c>
      <c r="G17" s="19">
        <v>4</v>
      </c>
      <c r="H17" s="20">
        <v>390</v>
      </c>
      <c r="I17" s="7" t="s">
        <v>44</v>
      </c>
      <c r="J17" s="7" t="str">
        <f>_xlfn.XLOOKUP(B17,Restaurants!$A$2:$A$21,Restaurants!$B$2:$B$21,"Unknown",0)</f>
        <v>Idli Express</v>
      </c>
      <c r="K17" s="7" t="str">
        <f>_xlfn.XLOOKUP(B17,Restaurants!$A$2:$A$21,Restaurants!$D$2:$D$21,"Unknown",0)</f>
        <v>QSR</v>
      </c>
      <c r="L17" s="19">
        <v>1</v>
      </c>
      <c r="M17" s="19" t="str">
        <f>IF(OR(F17&lt;'Stats Summary'!$B$17,F17&gt;'Stats Summary'!$B$18),"Yes","No")</f>
        <v>No</v>
      </c>
    </row>
    <row r="18" spans="1:13" x14ac:dyDescent="0.35">
      <c r="A18" s="7" t="s">
        <v>219</v>
      </c>
      <c r="B18" s="7" t="s">
        <v>155</v>
      </c>
      <c r="C18" s="7" t="s">
        <v>50</v>
      </c>
      <c r="D18" s="7" t="s">
        <v>152</v>
      </c>
      <c r="E18" s="18">
        <v>46219</v>
      </c>
      <c r="F18" s="19">
        <v>20</v>
      </c>
      <c r="G18" s="19">
        <v>4</v>
      </c>
      <c r="H18" s="20">
        <v>615</v>
      </c>
      <c r="I18" s="7" t="s">
        <v>44</v>
      </c>
      <c r="J18" s="7" t="str">
        <f>_xlfn.XLOOKUP(B18,Restaurants!$A$2:$A$21,Restaurants!$B$2:$B$21,"Unknown",0)</f>
        <v>Filter Coffee &amp; Meals</v>
      </c>
      <c r="K18" s="7" t="str">
        <f>_xlfn.XLOOKUP(B18,Restaurants!$A$2:$A$21,Restaurants!$D$2:$D$21,"Unknown",0)</f>
        <v>Dine-in</v>
      </c>
      <c r="L18" s="19">
        <v>1</v>
      </c>
      <c r="M18" s="19" t="str">
        <f>IF(OR(F18&lt;'Stats Summary'!$B$17,F18&gt;'Stats Summary'!$B$18),"Yes","No")</f>
        <v>No</v>
      </c>
    </row>
    <row r="19" spans="1:13" x14ac:dyDescent="0.35">
      <c r="A19" s="7" t="s">
        <v>220</v>
      </c>
      <c r="B19" s="7" t="s">
        <v>146</v>
      </c>
      <c r="C19" s="7" t="s">
        <v>50</v>
      </c>
      <c r="D19" s="7" t="s">
        <v>143</v>
      </c>
      <c r="E19" s="18">
        <v>46219</v>
      </c>
      <c r="F19" s="19">
        <v>49</v>
      </c>
      <c r="G19" s="19">
        <v>5</v>
      </c>
      <c r="H19" s="20">
        <v>715</v>
      </c>
      <c r="I19" s="7" t="s">
        <v>75</v>
      </c>
      <c r="J19" s="7" t="str">
        <f>_xlfn.XLOOKUP(B19,Restaurants!$A$2:$A$21,Restaurants!$B$2:$B$21,"Unknown",0)</f>
        <v>Idli Express</v>
      </c>
      <c r="K19" s="7" t="str">
        <f>_xlfn.XLOOKUP(B19,Restaurants!$A$2:$A$21,Restaurants!$D$2:$D$21,"Unknown",0)</f>
        <v>QSR</v>
      </c>
      <c r="L19" s="19">
        <v>1</v>
      </c>
      <c r="M19" s="19" t="str">
        <f>IF(OR(F19&lt;'Stats Summary'!$B$17,F19&gt;'Stats Summary'!$B$18),"Yes","No")</f>
        <v>No</v>
      </c>
    </row>
    <row r="20" spans="1:13" x14ac:dyDescent="0.35">
      <c r="A20" s="7" t="s">
        <v>221</v>
      </c>
      <c r="B20" s="7" t="s">
        <v>141</v>
      </c>
      <c r="C20" s="7" t="s">
        <v>43</v>
      </c>
      <c r="D20" s="7" t="s">
        <v>143</v>
      </c>
      <c r="E20" s="18">
        <v>46220</v>
      </c>
      <c r="F20" s="19">
        <v>30</v>
      </c>
      <c r="G20" s="19">
        <v>4</v>
      </c>
      <c r="H20" s="20">
        <v>920</v>
      </c>
      <c r="I20" s="7" t="s">
        <v>44</v>
      </c>
      <c r="J20" s="7" t="str">
        <f>_xlfn.XLOOKUP(B20,Restaurants!$A$2:$A$21,Restaurants!$B$2:$B$21,"Unknown",0)</f>
        <v>Masala Mantra</v>
      </c>
      <c r="K20" s="7" t="str">
        <f>_xlfn.XLOOKUP(B20,Restaurants!$A$2:$A$21,Restaurants!$D$2:$D$21,"Unknown",0)</f>
        <v>Cloud Kitchen</v>
      </c>
      <c r="L20" s="19">
        <v>1</v>
      </c>
      <c r="M20" s="19" t="str">
        <f>IF(OR(F20&lt;'Stats Summary'!$B$17,F20&gt;'Stats Summary'!$B$18),"Yes","No")</f>
        <v>No</v>
      </c>
    </row>
    <row r="21" spans="1:13" x14ac:dyDescent="0.35">
      <c r="A21" s="7" t="s">
        <v>222</v>
      </c>
      <c r="B21" s="7" t="s">
        <v>157</v>
      </c>
      <c r="C21" s="7" t="s">
        <v>55</v>
      </c>
      <c r="D21" s="7" t="s">
        <v>152</v>
      </c>
      <c r="E21" s="18">
        <v>46220</v>
      </c>
      <c r="F21" s="19">
        <v>29</v>
      </c>
      <c r="G21" s="19">
        <v>5</v>
      </c>
      <c r="H21" s="20">
        <v>930</v>
      </c>
      <c r="I21" s="7" t="s">
        <v>44</v>
      </c>
      <c r="J21" s="7" t="str">
        <f>_xlfn.XLOOKUP(B21,Restaurants!$A$2:$A$21,Restaurants!$B$2:$B$21,"Unknown",0)</f>
        <v>Wrap &amp; Roll</v>
      </c>
      <c r="K21" s="7" t="str">
        <f>_xlfn.XLOOKUP(B21,Restaurants!$A$2:$A$21,Restaurants!$D$2:$D$21,"Unknown",0)</f>
        <v>QSR</v>
      </c>
      <c r="L21" s="19">
        <v>1</v>
      </c>
      <c r="M21" s="19" t="str">
        <f>IF(OR(F21&lt;'Stats Summary'!$B$17,F21&gt;'Stats Summary'!$B$18),"Yes","No")</f>
        <v>No</v>
      </c>
    </row>
    <row r="22" spans="1:13" x14ac:dyDescent="0.35">
      <c r="A22" s="7" t="s">
        <v>223</v>
      </c>
      <c r="B22" s="7" t="s">
        <v>135</v>
      </c>
      <c r="C22" s="7" t="s">
        <v>47</v>
      </c>
      <c r="D22" s="7" t="s">
        <v>134</v>
      </c>
      <c r="E22" s="18">
        <v>46221</v>
      </c>
      <c r="F22" s="19">
        <v>31</v>
      </c>
      <c r="G22" s="19">
        <v>4</v>
      </c>
      <c r="H22" s="20">
        <v>475</v>
      </c>
      <c r="I22" s="7" t="s">
        <v>44</v>
      </c>
      <c r="J22" s="7" t="str">
        <f>_xlfn.XLOOKUP(B22,Restaurants!$A$2:$A$21,Restaurants!$B$2:$B$21,"Unknown",0)</f>
        <v>Noodle Nest</v>
      </c>
      <c r="K22" s="7" t="str">
        <f>_xlfn.XLOOKUP(B22,Restaurants!$A$2:$A$21,Restaurants!$D$2:$D$21,"Unknown",0)</f>
        <v>QSR</v>
      </c>
      <c r="L22" s="19">
        <v>1</v>
      </c>
      <c r="M22" s="19" t="str">
        <f>IF(OR(F22&lt;'Stats Summary'!$B$17,F22&gt;'Stats Summary'!$B$18),"Yes","No")</f>
        <v>No</v>
      </c>
    </row>
    <row r="23" spans="1:13" x14ac:dyDescent="0.35">
      <c r="A23" s="7" t="s">
        <v>224</v>
      </c>
      <c r="B23" s="7" t="s">
        <v>127</v>
      </c>
      <c r="C23" s="7" t="s">
        <v>55</v>
      </c>
      <c r="D23" s="7" t="s">
        <v>122</v>
      </c>
      <c r="E23" s="18">
        <v>46221</v>
      </c>
      <c r="F23" s="19">
        <v>28</v>
      </c>
      <c r="G23" s="19">
        <v>4</v>
      </c>
      <c r="H23" s="20">
        <v>650</v>
      </c>
      <c r="I23" s="7" t="s">
        <v>44</v>
      </c>
      <c r="J23" s="7" t="str">
        <f>_xlfn.XLOOKUP(B23,Restaurants!$A$2:$A$21,Restaurants!$B$2:$B$21,"Unknown",0)</f>
        <v>Burger Barn</v>
      </c>
      <c r="K23" s="7" t="str">
        <f>_xlfn.XLOOKUP(B23,Restaurants!$A$2:$A$21,Restaurants!$D$2:$D$21,"Unknown",0)</f>
        <v>QSR</v>
      </c>
      <c r="L23" s="19">
        <v>1</v>
      </c>
      <c r="M23" s="19" t="str">
        <f>IF(OR(F23&lt;'Stats Summary'!$B$17,F23&gt;'Stats Summary'!$B$18),"Yes","No")</f>
        <v>No</v>
      </c>
    </row>
    <row r="24" spans="1:13" x14ac:dyDescent="0.35">
      <c r="A24" s="7" t="s">
        <v>225</v>
      </c>
      <c r="B24" s="7" t="s">
        <v>130</v>
      </c>
      <c r="C24" s="7" t="s">
        <v>50</v>
      </c>
      <c r="D24" s="7" t="s">
        <v>122</v>
      </c>
      <c r="E24" s="18">
        <v>46223</v>
      </c>
      <c r="F24" s="19">
        <v>31</v>
      </c>
      <c r="G24" s="19">
        <v>5</v>
      </c>
      <c r="H24" s="20">
        <v>555</v>
      </c>
      <c r="I24" s="7" t="s">
        <v>44</v>
      </c>
      <c r="J24" s="7" t="str">
        <f>_xlfn.XLOOKUP(B24,Restaurants!$A$2:$A$21,Restaurants!$B$2:$B$21,"Unknown",0)</f>
        <v>Dosa Dynasty</v>
      </c>
      <c r="K24" s="7" t="str">
        <f>_xlfn.XLOOKUP(B24,Restaurants!$A$2:$A$21,Restaurants!$D$2:$D$21,"Unknown",0)</f>
        <v>Dine-in</v>
      </c>
      <c r="L24" s="19">
        <v>1</v>
      </c>
      <c r="M24" s="19" t="str">
        <f>IF(OR(F24&lt;'Stats Summary'!$B$17,F24&gt;'Stats Summary'!$B$18),"Yes","No")</f>
        <v>No</v>
      </c>
    </row>
    <row r="25" spans="1:13" x14ac:dyDescent="0.35">
      <c r="A25" s="7" t="s">
        <v>226</v>
      </c>
      <c r="B25" s="7" t="s">
        <v>148</v>
      </c>
      <c r="C25" s="7" t="s">
        <v>55</v>
      </c>
      <c r="D25" s="7" t="s">
        <v>143</v>
      </c>
      <c r="E25" s="18">
        <v>46223</v>
      </c>
      <c r="F25" s="19">
        <v>55</v>
      </c>
      <c r="G25" s="19">
        <v>3</v>
      </c>
      <c r="H25" s="20">
        <v>765</v>
      </c>
      <c r="I25" s="7" t="s">
        <v>75</v>
      </c>
      <c r="J25" s="7" t="str">
        <f>_xlfn.XLOOKUP(B25,Restaurants!$A$2:$A$21,Restaurants!$B$2:$B$21,"Unknown",0)</f>
        <v>Crispy Crunch</v>
      </c>
      <c r="K25" s="7" t="str">
        <f>_xlfn.XLOOKUP(B25,Restaurants!$A$2:$A$21,Restaurants!$D$2:$D$21,"Unknown",0)</f>
        <v>Cloud Kitchen</v>
      </c>
      <c r="L25" s="19">
        <v>1</v>
      </c>
      <c r="M25" s="19" t="str">
        <f>IF(OR(F25&lt;'Stats Summary'!$B$17,F25&gt;'Stats Summary'!$B$18),"Yes","No")</f>
        <v>Yes</v>
      </c>
    </row>
    <row r="26" spans="1:13" x14ac:dyDescent="0.35">
      <c r="A26" s="7" t="s">
        <v>227</v>
      </c>
      <c r="B26" s="7" t="s">
        <v>120</v>
      </c>
      <c r="C26" s="7" t="s">
        <v>43</v>
      </c>
      <c r="D26" s="7" t="s">
        <v>122</v>
      </c>
      <c r="E26" s="18">
        <v>46224</v>
      </c>
      <c r="F26" s="19">
        <v>51</v>
      </c>
      <c r="G26" s="19">
        <v>4</v>
      </c>
      <c r="H26" s="20">
        <v>335</v>
      </c>
      <c r="I26" s="7" t="s">
        <v>75</v>
      </c>
      <c r="J26" s="7" t="str">
        <f>_xlfn.XLOOKUP(B26,Restaurants!$A$2:$A$21,Restaurants!$B$2:$B$21,"Unknown",0)</f>
        <v>Tandoori Tales</v>
      </c>
      <c r="K26" s="7" t="str">
        <f>_xlfn.XLOOKUP(B26,Restaurants!$A$2:$A$21,Restaurants!$D$2:$D$21,"Unknown",0)</f>
        <v>Dine-in</v>
      </c>
      <c r="L26" s="19">
        <v>1</v>
      </c>
      <c r="M26" s="19" t="str">
        <f>IF(OR(F26&lt;'Stats Summary'!$B$17,F26&gt;'Stats Summary'!$B$18),"Yes","No")</f>
        <v>Yes</v>
      </c>
    </row>
    <row r="27" spans="1:13" x14ac:dyDescent="0.35">
      <c r="A27" s="7" t="s">
        <v>228</v>
      </c>
      <c r="B27" s="7" t="s">
        <v>120</v>
      </c>
      <c r="C27" s="7" t="s">
        <v>43</v>
      </c>
      <c r="D27" s="7" t="s">
        <v>122</v>
      </c>
      <c r="E27" s="18">
        <v>46224</v>
      </c>
      <c r="F27" s="19">
        <v>28</v>
      </c>
      <c r="G27" s="19">
        <v>5</v>
      </c>
      <c r="H27" s="20">
        <v>505</v>
      </c>
      <c r="I27" s="7" t="s">
        <v>44</v>
      </c>
      <c r="J27" s="7" t="str">
        <f>_xlfn.XLOOKUP(B27,Restaurants!$A$2:$A$21,Restaurants!$B$2:$B$21,"Unknown",0)</f>
        <v>Tandoori Tales</v>
      </c>
      <c r="K27" s="7" t="str">
        <f>_xlfn.XLOOKUP(B27,Restaurants!$A$2:$A$21,Restaurants!$D$2:$D$21,"Unknown",0)</f>
        <v>Dine-in</v>
      </c>
      <c r="L27" s="19">
        <v>1</v>
      </c>
      <c r="M27" s="19" t="str">
        <f>IF(OR(F27&lt;'Stats Summary'!$B$17,F27&gt;'Stats Summary'!$B$18),"Yes","No")</f>
        <v>No</v>
      </c>
    </row>
    <row r="28" spans="1:13" x14ac:dyDescent="0.35">
      <c r="A28" s="7" t="s">
        <v>229</v>
      </c>
      <c r="B28" s="7" t="s">
        <v>164</v>
      </c>
      <c r="C28" s="7" t="s">
        <v>50</v>
      </c>
      <c r="D28" s="7" t="s">
        <v>161</v>
      </c>
      <c r="E28" s="18">
        <v>46228</v>
      </c>
      <c r="F28" s="19">
        <v>29</v>
      </c>
      <c r="G28" s="19">
        <v>4</v>
      </c>
      <c r="H28" s="20">
        <v>275</v>
      </c>
      <c r="I28" s="7" t="s">
        <v>44</v>
      </c>
      <c r="J28" s="7" t="str">
        <f>_xlfn.XLOOKUP(B28,Restaurants!$A$2:$A$21,Restaurants!$B$2:$B$21,"Unknown",0)</f>
        <v>Sambar Spot</v>
      </c>
      <c r="K28" s="7" t="str">
        <f>_xlfn.XLOOKUP(B28,Restaurants!$A$2:$A$21,Restaurants!$D$2:$D$21,"Unknown",0)</f>
        <v>Cloud Kitchen</v>
      </c>
      <c r="L28" s="19">
        <v>1</v>
      </c>
      <c r="M28" s="19" t="str">
        <f>IF(OR(F28&lt;'Stats Summary'!$B$17,F28&gt;'Stats Summary'!$B$18),"Yes","No")</f>
        <v>No</v>
      </c>
    </row>
    <row r="29" spans="1:13" x14ac:dyDescent="0.35">
      <c r="A29" s="7" t="s">
        <v>230</v>
      </c>
      <c r="B29" s="7" t="s">
        <v>127</v>
      </c>
      <c r="C29" s="7" t="s">
        <v>55</v>
      </c>
      <c r="D29" s="7" t="s">
        <v>122</v>
      </c>
      <c r="E29" s="18">
        <v>46228</v>
      </c>
      <c r="F29" s="19">
        <v>26</v>
      </c>
      <c r="G29" s="19">
        <v>5</v>
      </c>
      <c r="H29" s="20">
        <v>1115</v>
      </c>
      <c r="I29" s="7" t="s">
        <v>44</v>
      </c>
      <c r="J29" s="7" t="str">
        <f>_xlfn.XLOOKUP(B29,Restaurants!$A$2:$A$21,Restaurants!$B$2:$B$21,"Unknown",0)</f>
        <v>Burger Barn</v>
      </c>
      <c r="K29" s="7" t="str">
        <f>_xlfn.XLOOKUP(B29,Restaurants!$A$2:$A$21,Restaurants!$D$2:$D$21,"Unknown",0)</f>
        <v>QSR</v>
      </c>
      <c r="L29" s="19">
        <v>1</v>
      </c>
      <c r="M29" s="19" t="str">
        <f>IF(OR(F29&lt;'Stats Summary'!$B$17,F29&gt;'Stats Summary'!$B$18),"Yes","No")</f>
        <v>No</v>
      </c>
    </row>
    <row r="30" spans="1:13" x14ac:dyDescent="0.35">
      <c r="A30" s="7" t="s">
        <v>231</v>
      </c>
      <c r="B30" s="7" t="s">
        <v>166</v>
      </c>
      <c r="C30" s="7" t="s">
        <v>55</v>
      </c>
      <c r="D30" s="7" t="s">
        <v>161</v>
      </c>
      <c r="E30" s="18">
        <v>46229</v>
      </c>
      <c r="F30" s="19">
        <v>36</v>
      </c>
      <c r="G30" s="19">
        <v>5</v>
      </c>
      <c r="H30" s="20">
        <v>315</v>
      </c>
      <c r="I30" s="7" t="s">
        <v>44</v>
      </c>
      <c r="J30" s="7" t="str">
        <f>_xlfn.XLOOKUP(B30,Restaurants!$A$2:$A$21,Restaurants!$B$2:$B$21,"Unknown",0)</f>
        <v>Fries &amp; Fizz</v>
      </c>
      <c r="K30" s="7" t="str">
        <f>_xlfn.XLOOKUP(B30,Restaurants!$A$2:$A$21,Restaurants!$D$2:$D$21,"Unknown",0)</f>
        <v>QSR</v>
      </c>
      <c r="L30" s="19">
        <v>1</v>
      </c>
      <c r="M30" s="19" t="str">
        <f>IF(OR(F30&lt;'Stats Summary'!$B$17,F30&gt;'Stats Summary'!$B$18),"Yes","No")</f>
        <v>No</v>
      </c>
    </row>
    <row r="31" spans="1:13" x14ac:dyDescent="0.35">
      <c r="A31" s="7" t="s">
        <v>232</v>
      </c>
      <c r="B31" s="7" t="s">
        <v>120</v>
      </c>
      <c r="C31" s="7" t="s">
        <v>43</v>
      </c>
      <c r="D31" s="7" t="s">
        <v>122</v>
      </c>
      <c r="E31" s="18">
        <v>46229</v>
      </c>
      <c r="F31" s="19">
        <v>39</v>
      </c>
      <c r="G31" s="19">
        <v>5</v>
      </c>
      <c r="H31" s="20">
        <v>120</v>
      </c>
      <c r="I31" s="7" t="s">
        <v>44</v>
      </c>
      <c r="J31" s="7" t="str">
        <f>_xlfn.XLOOKUP(B31,Restaurants!$A$2:$A$21,Restaurants!$B$2:$B$21,"Unknown",0)</f>
        <v>Tandoori Tales</v>
      </c>
      <c r="K31" s="7" t="str">
        <f>_xlfn.XLOOKUP(B31,Restaurants!$A$2:$A$21,Restaurants!$D$2:$D$21,"Unknown",0)</f>
        <v>Dine-in</v>
      </c>
      <c r="L31" s="19">
        <v>1</v>
      </c>
      <c r="M31" s="19" t="str">
        <f>IF(OR(F31&lt;'Stats Summary'!$B$17,F31&gt;'Stats Summary'!$B$18),"Yes","No")</f>
        <v>No</v>
      </c>
    </row>
    <row r="32" spans="1:13" x14ac:dyDescent="0.35">
      <c r="A32" s="7" t="s">
        <v>233</v>
      </c>
      <c r="B32" s="7" t="s">
        <v>144</v>
      </c>
      <c r="C32" s="7" t="s">
        <v>47</v>
      </c>
      <c r="D32" s="7" t="s">
        <v>143</v>
      </c>
      <c r="E32" s="18">
        <v>46231</v>
      </c>
      <c r="F32" s="19">
        <v>41</v>
      </c>
      <c r="G32" s="19">
        <v>4</v>
      </c>
      <c r="H32" s="20">
        <v>665</v>
      </c>
      <c r="I32" s="7" t="s">
        <v>44</v>
      </c>
      <c r="J32" s="7" t="str">
        <f>_xlfn.XLOOKUP(B32,Restaurants!$A$2:$A$21,Restaurants!$B$2:$B$21,"Unknown",0)</f>
        <v>Dragon Bowl</v>
      </c>
      <c r="K32" s="7" t="str">
        <f>_xlfn.XLOOKUP(B32,Restaurants!$A$2:$A$21,Restaurants!$D$2:$D$21,"Unknown",0)</f>
        <v>Dine-in</v>
      </c>
      <c r="L32" s="19">
        <v>1</v>
      </c>
      <c r="M32" s="19" t="str">
        <f>IF(OR(F32&lt;'Stats Summary'!$B$17,F32&gt;'Stats Summary'!$B$18),"Yes","No")</f>
        <v>No</v>
      </c>
    </row>
    <row r="33" spans="1:13" x14ac:dyDescent="0.35">
      <c r="A33" s="7" t="s">
        <v>234</v>
      </c>
      <c r="B33" s="7" t="s">
        <v>153</v>
      </c>
      <c r="C33" s="7" t="s">
        <v>47</v>
      </c>
      <c r="D33" s="7" t="s">
        <v>152</v>
      </c>
      <c r="E33" s="18">
        <v>46231</v>
      </c>
      <c r="F33" s="19">
        <v>19</v>
      </c>
      <c r="G33" s="19">
        <v>5</v>
      </c>
      <c r="H33" s="20">
        <v>485</v>
      </c>
      <c r="I33" s="7" t="s">
        <v>44</v>
      </c>
      <c r="J33" s="7" t="str">
        <f>_xlfn.XLOOKUP(B33,Restaurants!$A$2:$A$21,Restaurants!$B$2:$B$21,"Unknown",0)</f>
        <v>Chopstick Corner</v>
      </c>
      <c r="K33" s="7" t="str">
        <f>_xlfn.XLOOKUP(B33,Restaurants!$A$2:$A$21,Restaurants!$D$2:$D$21,"Unknown",0)</f>
        <v>Cloud Kitchen</v>
      </c>
      <c r="L33" s="19">
        <v>1</v>
      </c>
      <c r="M33" s="19" t="str">
        <f>IF(OR(F33&lt;'Stats Summary'!$B$17,F33&gt;'Stats Summary'!$B$18),"Yes","No")</f>
        <v>No</v>
      </c>
    </row>
    <row r="34" spans="1:13" x14ac:dyDescent="0.35">
      <c r="A34" s="7" t="s">
        <v>235</v>
      </c>
      <c r="B34" s="7" t="s">
        <v>157</v>
      </c>
      <c r="C34" s="7" t="s">
        <v>55</v>
      </c>
      <c r="D34" s="7" t="s">
        <v>152</v>
      </c>
      <c r="E34" s="18">
        <v>46232</v>
      </c>
      <c r="F34" s="19">
        <v>29</v>
      </c>
      <c r="G34" s="19">
        <v>5</v>
      </c>
      <c r="H34" s="20">
        <v>525</v>
      </c>
      <c r="I34" s="7" t="s">
        <v>44</v>
      </c>
      <c r="J34" s="7" t="str">
        <f>_xlfn.XLOOKUP(B34,Restaurants!$A$2:$A$21,Restaurants!$B$2:$B$21,"Unknown",0)</f>
        <v>Wrap &amp; Roll</v>
      </c>
      <c r="K34" s="7" t="str">
        <f>_xlfn.XLOOKUP(B34,Restaurants!$A$2:$A$21,Restaurants!$D$2:$D$21,"Unknown",0)</f>
        <v>QSR</v>
      </c>
      <c r="L34" s="19">
        <v>1</v>
      </c>
      <c r="M34" s="19" t="str">
        <f>IF(OR(F34&lt;'Stats Summary'!$B$17,F34&gt;'Stats Summary'!$B$18),"Yes","No")</f>
        <v>No</v>
      </c>
    </row>
    <row r="35" spans="1:13" x14ac:dyDescent="0.35">
      <c r="A35" s="7" t="s">
        <v>236</v>
      </c>
      <c r="B35" s="7" t="s">
        <v>139</v>
      </c>
      <c r="C35" s="7" t="s">
        <v>55</v>
      </c>
      <c r="D35" s="7" t="s">
        <v>134</v>
      </c>
      <c r="E35" s="18">
        <v>46233</v>
      </c>
      <c r="F35" s="19">
        <v>34</v>
      </c>
      <c r="G35" s="19">
        <v>5</v>
      </c>
      <c r="H35" s="20">
        <v>345</v>
      </c>
      <c r="I35" s="7" t="s">
        <v>44</v>
      </c>
      <c r="J35" s="7" t="str">
        <f>_xlfn.XLOOKUP(B35,Restaurants!$A$2:$A$21,Restaurants!$B$2:$B$21,"Unknown",0)</f>
        <v>Pizza Plaza</v>
      </c>
      <c r="K35" s="7" t="str">
        <f>_xlfn.XLOOKUP(B35,Restaurants!$A$2:$A$21,Restaurants!$D$2:$D$21,"Unknown",0)</f>
        <v>Dine-in</v>
      </c>
      <c r="L35" s="19">
        <v>1</v>
      </c>
      <c r="M35" s="19" t="str">
        <f>IF(OR(F35&lt;'Stats Summary'!$B$17,F35&gt;'Stats Summary'!$B$18),"Yes","No")</f>
        <v>No</v>
      </c>
    </row>
    <row r="36" spans="1:13" x14ac:dyDescent="0.35">
      <c r="A36" s="7" t="s">
        <v>237</v>
      </c>
      <c r="B36" s="7" t="s">
        <v>135</v>
      </c>
      <c r="C36" s="7" t="s">
        <v>47</v>
      </c>
      <c r="D36" s="7" t="s">
        <v>134</v>
      </c>
      <c r="E36" s="18">
        <v>46234</v>
      </c>
      <c r="F36" s="19">
        <v>31</v>
      </c>
      <c r="G36" s="19">
        <v>5</v>
      </c>
      <c r="H36" s="20">
        <v>340</v>
      </c>
      <c r="I36" s="7" t="s">
        <v>44</v>
      </c>
      <c r="J36" s="7" t="str">
        <f>_xlfn.XLOOKUP(B36,Restaurants!$A$2:$A$21,Restaurants!$B$2:$B$21,"Unknown",0)</f>
        <v>Noodle Nest</v>
      </c>
      <c r="K36" s="7" t="str">
        <f>_xlfn.XLOOKUP(B36,Restaurants!$A$2:$A$21,Restaurants!$D$2:$D$21,"Unknown",0)</f>
        <v>QSR</v>
      </c>
      <c r="L36" s="19">
        <v>1</v>
      </c>
      <c r="M36" s="19" t="str">
        <f>IF(OR(F36&lt;'Stats Summary'!$B$17,F36&gt;'Stats Summary'!$B$18),"Yes","No")</f>
        <v>No</v>
      </c>
    </row>
    <row r="37" spans="1:13" x14ac:dyDescent="0.35">
      <c r="A37" s="7" t="s">
        <v>238</v>
      </c>
      <c r="B37" s="7" t="s">
        <v>141</v>
      </c>
      <c r="C37" s="7" t="s">
        <v>43</v>
      </c>
      <c r="D37" s="7" t="s">
        <v>143</v>
      </c>
      <c r="E37" s="18">
        <v>46235</v>
      </c>
      <c r="F37" s="19">
        <v>29</v>
      </c>
      <c r="G37" s="19">
        <v>5</v>
      </c>
      <c r="H37" s="20">
        <v>305</v>
      </c>
      <c r="I37" s="7" t="s">
        <v>44</v>
      </c>
      <c r="J37" s="7" t="str">
        <f>_xlfn.XLOOKUP(B37,Restaurants!$A$2:$A$21,Restaurants!$B$2:$B$21,"Unknown",0)</f>
        <v>Masala Mantra</v>
      </c>
      <c r="K37" s="7" t="str">
        <f>_xlfn.XLOOKUP(B37,Restaurants!$A$2:$A$21,Restaurants!$D$2:$D$21,"Unknown",0)</f>
        <v>Cloud Kitchen</v>
      </c>
      <c r="L37" s="19">
        <v>1</v>
      </c>
      <c r="M37" s="19" t="str">
        <f>IF(OR(F37&lt;'Stats Summary'!$B$17,F37&gt;'Stats Summary'!$B$18),"Yes","No")</f>
        <v>No</v>
      </c>
    </row>
    <row r="38" spans="1:13" x14ac:dyDescent="0.35">
      <c r="A38" s="7" t="s">
        <v>239</v>
      </c>
      <c r="B38" s="7" t="s">
        <v>137</v>
      </c>
      <c r="C38" s="7" t="s">
        <v>43</v>
      </c>
      <c r="D38" s="7" t="s">
        <v>134</v>
      </c>
      <c r="E38" s="18">
        <v>46235</v>
      </c>
      <c r="F38" s="19">
        <v>27</v>
      </c>
      <c r="G38" s="19">
        <v>4</v>
      </c>
      <c r="H38" s="20">
        <v>305</v>
      </c>
      <c r="I38" s="7" t="s">
        <v>44</v>
      </c>
      <c r="J38" s="7" t="str">
        <f>_xlfn.XLOOKUP(B38,Restaurants!$A$2:$A$21,Restaurants!$B$2:$B$21,"Unknown",0)</f>
        <v>Punjabi Dhaba Express</v>
      </c>
      <c r="K38" s="7" t="str">
        <f>_xlfn.XLOOKUP(B38,Restaurants!$A$2:$A$21,Restaurants!$D$2:$D$21,"Unknown",0)</f>
        <v>QSR</v>
      </c>
      <c r="L38" s="19">
        <v>1</v>
      </c>
      <c r="M38" s="19" t="str">
        <f>IF(OR(F38&lt;'Stats Summary'!$B$17,F38&gt;'Stats Summary'!$B$18),"Yes","No")</f>
        <v>No</v>
      </c>
    </row>
    <row r="39" spans="1:13" x14ac:dyDescent="0.35">
      <c r="A39" s="7" t="s">
        <v>240</v>
      </c>
      <c r="B39" s="7" t="s">
        <v>150</v>
      </c>
      <c r="C39" s="7" t="s">
        <v>43</v>
      </c>
      <c r="D39" s="7" t="s">
        <v>152</v>
      </c>
      <c r="E39" s="18">
        <v>46236</v>
      </c>
      <c r="F39" s="19">
        <v>23</v>
      </c>
      <c r="G39" s="19">
        <v>5</v>
      </c>
      <c r="H39" s="20">
        <v>305</v>
      </c>
      <c r="I39" s="7" t="s">
        <v>44</v>
      </c>
      <c r="J39" s="7" t="str">
        <f>_xlfn.XLOOKUP(B39,Restaurants!$A$2:$A$21,Restaurants!$B$2:$B$21,"Unknown",0)</f>
        <v>Royal Biryani House</v>
      </c>
      <c r="K39" s="7" t="str">
        <f>_xlfn.XLOOKUP(B39,Restaurants!$A$2:$A$21,Restaurants!$D$2:$D$21,"Unknown",0)</f>
        <v>Dine-in</v>
      </c>
      <c r="L39" s="19">
        <v>1</v>
      </c>
      <c r="M39" s="19" t="str">
        <f>IF(OR(F39&lt;'Stats Summary'!$B$17,F39&gt;'Stats Summary'!$B$18),"Yes","No")</f>
        <v>No</v>
      </c>
    </row>
    <row r="40" spans="1:13" x14ac:dyDescent="0.35">
      <c r="A40" s="7" t="s">
        <v>241</v>
      </c>
      <c r="B40" s="7" t="s">
        <v>144</v>
      </c>
      <c r="C40" s="7" t="s">
        <v>47</v>
      </c>
      <c r="D40" s="7" t="s">
        <v>143</v>
      </c>
      <c r="E40" s="18">
        <v>46237</v>
      </c>
      <c r="F40" s="19">
        <v>42</v>
      </c>
      <c r="G40" s="19">
        <v>4</v>
      </c>
      <c r="H40" s="20">
        <v>335</v>
      </c>
      <c r="I40" s="7" t="s">
        <v>44</v>
      </c>
      <c r="J40" s="7" t="str">
        <f>_xlfn.XLOOKUP(B40,Restaurants!$A$2:$A$21,Restaurants!$B$2:$B$21,"Unknown",0)</f>
        <v>Dragon Bowl</v>
      </c>
      <c r="K40" s="7" t="str">
        <f>_xlfn.XLOOKUP(B40,Restaurants!$A$2:$A$21,Restaurants!$D$2:$D$21,"Unknown",0)</f>
        <v>Dine-in</v>
      </c>
      <c r="L40" s="19">
        <v>1</v>
      </c>
      <c r="M40" s="19" t="str">
        <f>IF(OR(F40&lt;'Stats Summary'!$B$17,F40&gt;'Stats Summary'!$B$18),"Yes","No")</f>
        <v>No</v>
      </c>
    </row>
    <row r="41" spans="1:13" x14ac:dyDescent="0.35">
      <c r="A41" s="7" t="s">
        <v>242</v>
      </c>
      <c r="B41" s="7" t="s">
        <v>135</v>
      </c>
      <c r="C41" s="7" t="s">
        <v>47</v>
      </c>
      <c r="D41" s="7" t="s">
        <v>134</v>
      </c>
      <c r="E41" s="18">
        <v>46237</v>
      </c>
      <c r="F41" s="19">
        <v>74</v>
      </c>
      <c r="G41" s="19">
        <v>4</v>
      </c>
      <c r="H41" s="20">
        <v>520</v>
      </c>
      <c r="I41" s="7" t="s">
        <v>75</v>
      </c>
      <c r="J41" s="7" t="str">
        <f>_xlfn.XLOOKUP(B41,Restaurants!$A$2:$A$21,Restaurants!$B$2:$B$21,"Unknown",0)</f>
        <v>Noodle Nest</v>
      </c>
      <c r="K41" s="7" t="str">
        <f>_xlfn.XLOOKUP(B41,Restaurants!$A$2:$A$21,Restaurants!$D$2:$D$21,"Unknown",0)</f>
        <v>QSR</v>
      </c>
      <c r="L41" s="19">
        <v>1</v>
      </c>
      <c r="M41" s="19" t="str">
        <f>IF(OR(F41&lt;'Stats Summary'!$B$17,F41&gt;'Stats Summary'!$B$18),"Yes","No")</f>
        <v>Yes</v>
      </c>
    </row>
    <row r="42" spans="1:13" x14ac:dyDescent="0.35">
      <c r="A42" s="7" t="s">
        <v>243</v>
      </c>
      <c r="B42" s="7" t="s">
        <v>144</v>
      </c>
      <c r="C42" s="7" t="s">
        <v>47</v>
      </c>
      <c r="D42" s="7" t="s">
        <v>143</v>
      </c>
      <c r="E42" s="18">
        <v>46237</v>
      </c>
      <c r="F42" s="19">
        <v>50</v>
      </c>
      <c r="G42" s="19">
        <v>5</v>
      </c>
      <c r="H42" s="20">
        <v>960</v>
      </c>
      <c r="I42" s="7" t="s">
        <v>75</v>
      </c>
      <c r="J42" s="7" t="str">
        <f>_xlfn.XLOOKUP(B42,Restaurants!$A$2:$A$21,Restaurants!$B$2:$B$21,"Unknown",0)</f>
        <v>Dragon Bowl</v>
      </c>
      <c r="K42" s="7" t="str">
        <f>_xlfn.XLOOKUP(B42,Restaurants!$A$2:$A$21,Restaurants!$D$2:$D$21,"Unknown",0)</f>
        <v>Dine-in</v>
      </c>
      <c r="L42" s="19">
        <v>1</v>
      </c>
      <c r="M42" s="19" t="str">
        <f>IF(OR(F42&lt;'Stats Summary'!$B$17,F42&gt;'Stats Summary'!$B$18),"Yes","No")</f>
        <v>Yes</v>
      </c>
    </row>
    <row r="43" spans="1:13" x14ac:dyDescent="0.35">
      <c r="A43" s="7" t="s">
        <v>244</v>
      </c>
      <c r="B43" s="7" t="s">
        <v>146</v>
      </c>
      <c r="C43" s="7" t="s">
        <v>50</v>
      </c>
      <c r="D43" s="7" t="s">
        <v>143</v>
      </c>
      <c r="E43" s="18">
        <v>46238</v>
      </c>
      <c r="F43" s="19">
        <v>39</v>
      </c>
      <c r="G43" s="19">
        <v>5</v>
      </c>
      <c r="H43" s="20">
        <v>575</v>
      </c>
      <c r="I43" s="7" t="s">
        <v>44</v>
      </c>
      <c r="J43" s="7" t="str">
        <f>_xlfn.XLOOKUP(B43,Restaurants!$A$2:$A$21,Restaurants!$B$2:$B$21,"Unknown",0)</f>
        <v>Idli Express</v>
      </c>
      <c r="K43" s="7" t="str">
        <f>_xlfn.XLOOKUP(B43,Restaurants!$A$2:$A$21,Restaurants!$D$2:$D$21,"Unknown",0)</f>
        <v>QSR</v>
      </c>
      <c r="L43" s="19">
        <v>1</v>
      </c>
      <c r="M43" s="19" t="str">
        <f>IF(OR(F43&lt;'Stats Summary'!$B$17,F43&gt;'Stats Summary'!$B$18),"Yes","No")</f>
        <v>No</v>
      </c>
    </row>
    <row r="44" spans="1:13" x14ac:dyDescent="0.35">
      <c r="A44" s="7" t="s">
        <v>245</v>
      </c>
      <c r="B44" s="7" t="s">
        <v>166</v>
      </c>
      <c r="C44" s="7" t="s">
        <v>55</v>
      </c>
      <c r="D44" s="7" t="s">
        <v>161</v>
      </c>
      <c r="E44" s="18">
        <v>46238</v>
      </c>
      <c r="F44" s="19">
        <v>48</v>
      </c>
      <c r="G44" s="19">
        <v>4</v>
      </c>
      <c r="H44" s="20">
        <v>755</v>
      </c>
      <c r="I44" s="7" t="s">
        <v>75</v>
      </c>
      <c r="J44" s="7" t="str">
        <f>_xlfn.XLOOKUP(B44,Restaurants!$A$2:$A$21,Restaurants!$B$2:$B$21,"Unknown",0)</f>
        <v>Fries &amp; Fizz</v>
      </c>
      <c r="K44" s="7" t="str">
        <f>_xlfn.XLOOKUP(B44,Restaurants!$A$2:$A$21,Restaurants!$D$2:$D$21,"Unknown",0)</f>
        <v>QSR</v>
      </c>
      <c r="L44" s="19">
        <v>1</v>
      </c>
      <c r="M44" s="19" t="str">
        <f>IF(OR(F44&lt;'Stats Summary'!$B$17,F44&gt;'Stats Summary'!$B$18),"Yes","No")</f>
        <v>No</v>
      </c>
    </row>
    <row r="45" spans="1:13" x14ac:dyDescent="0.35">
      <c r="A45" s="7" t="s">
        <v>246</v>
      </c>
      <c r="B45" s="7" t="s">
        <v>144</v>
      </c>
      <c r="C45" s="7" t="s">
        <v>47</v>
      </c>
      <c r="D45" s="7" t="s">
        <v>143</v>
      </c>
      <c r="E45" s="18">
        <v>46241</v>
      </c>
      <c r="F45" s="19">
        <v>33</v>
      </c>
      <c r="G45" s="19">
        <v>4</v>
      </c>
      <c r="H45" s="20">
        <v>425</v>
      </c>
      <c r="I45" s="7" t="s">
        <v>44</v>
      </c>
      <c r="J45" s="7" t="str">
        <f>_xlfn.XLOOKUP(B45,Restaurants!$A$2:$A$21,Restaurants!$B$2:$B$21,"Unknown",0)</f>
        <v>Dragon Bowl</v>
      </c>
      <c r="K45" s="7" t="str">
        <f>_xlfn.XLOOKUP(B45,Restaurants!$A$2:$A$21,Restaurants!$D$2:$D$21,"Unknown",0)</f>
        <v>Dine-in</v>
      </c>
      <c r="L45" s="19">
        <v>1</v>
      </c>
      <c r="M45" s="19" t="str">
        <f>IF(OR(F45&lt;'Stats Summary'!$B$17,F45&gt;'Stats Summary'!$B$18),"Yes","No")</f>
        <v>No</v>
      </c>
    </row>
    <row r="46" spans="1:13" x14ac:dyDescent="0.35">
      <c r="A46" s="7" t="s">
        <v>247</v>
      </c>
      <c r="B46" s="7" t="s">
        <v>166</v>
      </c>
      <c r="C46" s="7" t="s">
        <v>55</v>
      </c>
      <c r="D46" s="7" t="s">
        <v>161</v>
      </c>
      <c r="E46" s="18">
        <v>46241</v>
      </c>
      <c r="F46" s="19">
        <v>31</v>
      </c>
      <c r="G46" s="19">
        <v>4</v>
      </c>
      <c r="H46" s="20">
        <v>690</v>
      </c>
      <c r="I46" s="7" t="s">
        <v>44</v>
      </c>
      <c r="J46" s="7" t="str">
        <f>_xlfn.XLOOKUP(B46,Restaurants!$A$2:$A$21,Restaurants!$B$2:$B$21,"Unknown",0)</f>
        <v>Fries &amp; Fizz</v>
      </c>
      <c r="K46" s="7" t="str">
        <f>_xlfn.XLOOKUP(B46,Restaurants!$A$2:$A$21,Restaurants!$D$2:$D$21,"Unknown",0)</f>
        <v>QSR</v>
      </c>
      <c r="L46" s="19">
        <v>1</v>
      </c>
      <c r="M46" s="19" t="str">
        <f>IF(OR(F46&lt;'Stats Summary'!$B$17,F46&gt;'Stats Summary'!$B$18),"Yes","No")</f>
        <v>No</v>
      </c>
    </row>
    <row r="47" spans="1:13" x14ac:dyDescent="0.35">
      <c r="A47" s="7" t="s">
        <v>248</v>
      </c>
      <c r="B47" s="7" t="s">
        <v>132</v>
      </c>
      <c r="C47" s="7" t="s">
        <v>50</v>
      </c>
      <c r="D47" s="7" t="s">
        <v>134</v>
      </c>
      <c r="E47" s="18">
        <v>46242</v>
      </c>
      <c r="F47" s="19">
        <v>28</v>
      </c>
      <c r="G47" s="19">
        <v>5</v>
      </c>
      <c r="H47" s="20">
        <v>235</v>
      </c>
      <c r="I47" s="7" t="s">
        <v>44</v>
      </c>
      <c r="J47" s="7" t="str">
        <f>_xlfn.XLOOKUP(B47,Restaurants!$A$2:$A$21,Restaurants!$B$2:$B$21,"Unknown",0)</f>
        <v>Curry Leaf Kitchen</v>
      </c>
      <c r="K47" s="7" t="str">
        <f>_xlfn.XLOOKUP(B47,Restaurants!$A$2:$A$21,Restaurants!$D$2:$D$21,"Unknown",0)</f>
        <v>Cloud Kitchen</v>
      </c>
      <c r="L47" s="19">
        <v>1</v>
      </c>
      <c r="M47" s="19" t="str">
        <f>IF(OR(F47&lt;'Stats Summary'!$B$17,F47&gt;'Stats Summary'!$B$18),"Yes","No")</f>
        <v>No</v>
      </c>
    </row>
    <row r="48" spans="1:13" x14ac:dyDescent="0.35">
      <c r="A48" s="7" t="s">
        <v>249</v>
      </c>
      <c r="B48" s="7" t="s">
        <v>120</v>
      </c>
      <c r="C48" s="7" t="s">
        <v>43</v>
      </c>
      <c r="D48" s="7" t="s">
        <v>122</v>
      </c>
      <c r="E48" s="18">
        <v>46242</v>
      </c>
      <c r="F48" s="19">
        <v>48</v>
      </c>
      <c r="G48" s="19">
        <v>3</v>
      </c>
      <c r="H48" s="20">
        <v>700</v>
      </c>
      <c r="I48" s="7" t="s">
        <v>75</v>
      </c>
      <c r="J48" s="7" t="str">
        <f>_xlfn.XLOOKUP(B48,Restaurants!$A$2:$A$21,Restaurants!$B$2:$B$21,"Unknown",0)</f>
        <v>Tandoori Tales</v>
      </c>
      <c r="K48" s="7" t="str">
        <f>_xlfn.XLOOKUP(B48,Restaurants!$A$2:$A$21,Restaurants!$D$2:$D$21,"Unknown",0)</f>
        <v>Dine-in</v>
      </c>
      <c r="L48" s="19">
        <v>1</v>
      </c>
      <c r="M48" s="19" t="str">
        <f>IF(OR(F48&lt;'Stats Summary'!$B$17,F48&gt;'Stats Summary'!$B$18),"Yes","No")</f>
        <v>No</v>
      </c>
    </row>
    <row r="49" spans="1:13" x14ac:dyDescent="0.35">
      <c r="A49" s="7" t="s">
        <v>250</v>
      </c>
      <c r="B49" s="7" t="s">
        <v>127</v>
      </c>
      <c r="C49" s="7" t="s">
        <v>55</v>
      </c>
      <c r="D49" s="7" t="s">
        <v>122</v>
      </c>
      <c r="E49" s="18">
        <v>46242</v>
      </c>
      <c r="F49" s="19">
        <v>18</v>
      </c>
      <c r="G49" s="19">
        <v>5</v>
      </c>
      <c r="H49" s="20">
        <v>560</v>
      </c>
      <c r="I49" s="7" t="s">
        <v>44</v>
      </c>
      <c r="J49" s="7" t="str">
        <f>_xlfn.XLOOKUP(B49,Restaurants!$A$2:$A$21,Restaurants!$B$2:$B$21,"Unknown",0)</f>
        <v>Burger Barn</v>
      </c>
      <c r="K49" s="7" t="str">
        <f>_xlfn.XLOOKUP(B49,Restaurants!$A$2:$A$21,Restaurants!$D$2:$D$21,"Unknown",0)</f>
        <v>QSR</v>
      </c>
      <c r="L49" s="19">
        <v>1</v>
      </c>
      <c r="M49" s="19" t="str">
        <f>IF(OR(F49&lt;'Stats Summary'!$B$17,F49&gt;'Stats Summary'!$B$18),"Yes","No")</f>
        <v>No</v>
      </c>
    </row>
    <row r="50" spans="1:13" x14ac:dyDescent="0.35">
      <c r="A50" s="7" t="s">
        <v>251</v>
      </c>
      <c r="B50" s="7" t="s">
        <v>120</v>
      </c>
      <c r="C50" s="7" t="s">
        <v>43</v>
      </c>
      <c r="D50" s="7" t="s">
        <v>122</v>
      </c>
      <c r="E50" s="18">
        <v>46243</v>
      </c>
      <c r="F50" s="19">
        <v>30</v>
      </c>
      <c r="G50" s="19">
        <v>5</v>
      </c>
      <c r="H50" s="20">
        <v>230</v>
      </c>
      <c r="I50" s="7" t="s">
        <v>44</v>
      </c>
      <c r="J50" s="7" t="str">
        <f>_xlfn.XLOOKUP(B50,Restaurants!$A$2:$A$21,Restaurants!$B$2:$B$21,"Unknown",0)</f>
        <v>Tandoori Tales</v>
      </c>
      <c r="K50" s="7" t="str">
        <f>_xlfn.XLOOKUP(B50,Restaurants!$A$2:$A$21,Restaurants!$D$2:$D$21,"Unknown",0)</f>
        <v>Dine-in</v>
      </c>
      <c r="L50" s="19">
        <v>1</v>
      </c>
      <c r="M50" s="19" t="str">
        <f>IF(OR(F50&lt;'Stats Summary'!$B$17,F50&gt;'Stats Summary'!$B$18),"Yes","No")</f>
        <v>No</v>
      </c>
    </row>
    <row r="51" spans="1:13" x14ac:dyDescent="0.35">
      <c r="A51" s="7" t="s">
        <v>252</v>
      </c>
      <c r="B51" s="7" t="s">
        <v>166</v>
      </c>
      <c r="C51" s="7" t="s">
        <v>55</v>
      </c>
      <c r="D51" s="7" t="s">
        <v>161</v>
      </c>
      <c r="E51" s="18">
        <v>46243</v>
      </c>
      <c r="F51" s="19">
        <v>36</v>
      </c>
      <c r="G51" s="19">
        <v>5</v>
      </c>
      <c r="H51" s="20">
        <v>380</v>
      </c>
      <c r="I51" s="7" t="s">
        <v>44</v>
      </c>
      <c r="J51" s="7" t="str">
        <f>_xlfn.XLOOKUP(B51,Restaurants!$A$2:$A$21,Restaurants!$B$2:$B$21,"Unknown",0)</f>
        <v>Fries &amp; Fizz</v>
      </c>
      <c r="K51" s="7" t="str">
        <f>_xlfn.XLOOKUP(B51,Restaurants!$A$2:$A$21,Restaurants!$D$2:$D$21,"Unknown",0)</f>
        <v>QSR</v>
      </c>
      <c r="L51" s="19">
        <v>1</v>
      </c>
      <c r="M51" s="19" t="str">
        <f>IF(OR(F51&lt;'Stats Summary'!$B$17,F51&gt;'Stats Summary'!$B$18),"Yes","No")</f>
        <v>No</v>
      </c>
    </row>
    <row r="52" spans="1:13" x14ac:dyDescent="0.35">
      <c r="A52" s="7" t="s">
        <v>253</v>
      </c>
      <c r="B52" s="7" t="s">
        <v>162</v>
      </c>
      <c r="C52" s="7" t="s">
        <v>47</v>
      </c>
      <c r="D52" s="7" t="s">
        <v>161</v>
      </c>
      <c r="E52" s="18">
        <v>46243</v>
      </c>
      <c r="F52" s="19">
        <v>31</v>
      </c>
      <c r="G52" s="19">
        <v>5</v>
      </c>
      <c r="H52" s="20">
        <v>385</v>
      </c>
      <c r="I52" s="7" t="s">
        <v>44</v>
      </c>
      <c r="J52" s="7" t="str">
        <f>_xlfn.XLOOKUP(B52,Restaurants!$A$2:$A$21,Restaurants!$B$2:$B$21,"Unknown",0)</f>
        <v>Noodle Station</v>
      </c>
      <c r="K52" s="7" t="str">
        <f>_xlfn.XLOOKUP(B52,Restaurants!$A$2:$A$21,Restaurants!$D$2:$D$21,"Unknown",0)</f>
        <v>QSR</v>
      </c>
      <c r="L52" s="19">
        <v>1</v>
      </c>
      <c r="M52" s="19" t="str">
        <f>IF(OR(F52&lt;'Stats Summary'!$B$17,F52&gt;'Stats Summary'!$B$18),"Yes","No")</f>
        <v>No</v>
      </c>
    </row>
    <row r="53" spans="1:13" x14ac:dyDescent="0.35">
      <c r="A53" s="7" t="s">
        <v>254</v>
      </c>
      <c r="B53" s="7" t="s">
        <v>127</v>
      </c>
      <c r="C53" s="7" t="s">
        <v>55</v>
      </c>
      <c r="D53" s="7" t="s">
        <v>122</v>
      </c>
      <c r="E53" s="18">
        <v>46244</v>
      </c>
      <c r="F53" s="19">
        <v>36</v>
      </c>
      <c r="G53" s="19">
        <v>4</v>
      </c>
      <c r="H53" s="20">
        <v>455</v>
      </c>
      <c r="I53" s="7" t="s">
        <v>44</v>
      </c>
      <c r="J53" s="7" t="str">
        <f>_xlfn.XLOOKUP(B53,Restaurants!$A$2:$A$21,Restaurants!$B$2:$B$21,"Unknown",0)</f>
        <v>Burger Barn</v>
      </c>
      <c r="K53" s="7" t="str">
        <f>_xlfn.XLOOKUP(B53,Restaurants!$A$2:$A$21,Restaurants!$D$2:$D$21,"Unknown",0)</f>
        <v>QSR</v>
      </c>
      <c r="L53" s="19">
        <v>1</v>
      </c>
      <c r="M53" s="19" t="str">
        <f>IF(OR(F53&lt;'Stats Summary'!$B$17,F53&gt;'Stats Summary'!$B$18),"Yes","No")</f>
        <v>No</v>
      </c>
    </row>
    <row r="54" spans="1:13" x14ac:dyDescent="0.35">
      <c r="A54" s="7" t="s">
        <v>255</v>
      </c>
      <c r="B54" s="7" t="s">
        <v>155</v>
      </c>
      <c r="C54" s="7" t="s">
        <v>50</v>
      </c>
      <c r="D54" s="7" t="s">
        <v>152</v>
      </c>
      <c r="E54" s="18">
        <v>46245</v>
      </c>
      <c r="F54" s="19">
        <v>24</v>
      </c>
      <c r="G54" s="19">
        <v>5</v>
      </c>
      <c r="H54" s="20">
        <v>685</v>
      </c>
      <c r="I54" s="7" t="s">
        <v>44</v>
      </c>
      <c r="J54" s="7" t="str">
        <f>_xlfn.XLOOKUP(B54,Restaurants!$A$2:$A$21,Restaurants!$B$2:$B$21,"Unknown",0)</f>
        <v>Filter Coffee &amp; Meals</v>
      </c>
      <c r="K54" s="7" t="str">
        <f>_xlfn.XLOOKUP(B54,Restaurants!$A$2:$A$21,Restaurants!$D$2:$D$21,"Unknown",0)</f>
        <v>Dine-in</v>
      </c>
      <c r="L54" s="19">
        <v>1</v>
      </c>
      <c r="M54" s="19" t="str">
        <f>IF(OR(F54&lt;'Stats Summary'!$B$17,F54&gt;'Stats Summary'!$B$18),"Yes","No")</f>
        <v>No</v>
      </c>
    </row>
    <row r="55" spans="1:13" x14ac:dyDescent="0.35">
      <c r="A55" s="7" t="s">
        <v>256</v>
      </c>
      <c r="B55" s="7" t="s">
        <v>155</v>
      </c>
      <c r="C55" s="7" t="s">
        <v>50</v>
      </c>
      <c r="D55" s="7" t="s">
        <v>152</v>
      </c>
      <c r="E55" s="18">
        <v>46245</v>
      </c>
      <c r="F55" s="19">
        <v>25</v>
      </c>
      <c r="G55" s="19">
        <v>5</v>
      </c>
      <c r="H55" s="20">
        <v>295</v>
      </c>
      <c r="I55" s="7" t="s">
        <v>44</v>
      </c>
      <c r="J55" s="7" t="str">
        <f>_xlfn.XLOOKUP(B55,Restaurants!$A$2:$A$21,Restaurants!$B$2:$B$21,"Unknown",0)</f>
        <v>Filter Coffee &amp; Meals</v>
      </c>
      <c r="K55" s="7" t="str">
        <f>_xlfn.XLOOKUP(B55,Restaurants!$A$2:$A$21,Restaurants!$D$2:$D$21,"Unknown",0)</f>
        <v>Dine-in</v>
      </c>
      <c r="L55" s="19">
        <v>1</v>
      </c>
      <c r="M55" s="19" t="str">
        <f>IF(OR(F55&lt;'Stats Summary'!$B$17,F55&gt;'Stats Summary'!$B$18),"Yes","No")</f>
        <v>No</v>
      </c>
    </row>
    <row r="56" spans="1:13" x14ac:dyDescent="0.35">
      <c r="A56" s="7" t="s">
        <v>257</v>
      </c>
      <c r="B56" s="7" t="s">
        <v>146</v>
      </c>
      <c r="C56" s="7" t="s">
        <v>50</v>
      </c>
      <c r="D56" s="7" t="s">
        <v>143</v>
      </c>
      <c r="E56" s="18">
        <v>46245</v>
      </c>
      <c r="F56" s="19">
        <v>29</v>
      </c>
      <c r="G56" s="19">
        <v>2</v>
      </c>
      <c r="H56" s="20">
        <v>305</v>
      </c>
      <c r="I56" s="7" t="s">
        <v>66</v>
      </c>
      <c r="J56" s="7" t="str">
        <f>_xlfn.XLOOKUP(B56,Restaurants!$A$2:$A$21,Restaurants!$B$2:$B$21,"Unknown",0)</f>
        <v>Idli Express</v>
      </c>
      <c r="K56" s="7" t="str">
        <f>_xlfn.XLOOKUP(B56,Restaurants!$A$2:$A$21,Restaurants!$D$2:$D$21,"Unknown",0)</f>
        <v>QSR</v>
      </c>
      <c r="L56" s="19">
        <v>1</v>
      </c>
      <c r="M56" s="19" t="str">
        <f>IF(OR(F56&lt;'Stats Summary'!$B$17,F56&gt;'Stats Summary'!$B$18),"Yes","No")</f>
        <v>No</v>
      </c>
    </row>
    <row r="57" spans="1:13" x14ac:dyDescent="0.35">
      <c r="A57" s="7" t="s">
        <v>258</v>
      </c>
      <c r="B57" s="7" t="s">
        <v>159</v>
      </c>
      <c r="C57" s="7" t="s">
        <v>43</v>
      </c>
      <c r="D57" s="7" t="s">
        <v>161</v>
      </c>
      <c r="E57" s="18">
        <v>46246</v>
      </c>
      <c r="F57" s="19">
        <v>32</v>
      </c>
      <c r="G57" s="19">
        <v>5</v>
      </c>
      <c r="H57" s="20">
        <v>1895</v>
      </c>
      <c r="I57" s="7" t="s">
        <v>44</v>
      </c>
      <c r="J57" s="7" t="str">
        <f>_xlfn.XLOOKUP(B57,Restaurants!$A$2:$A$21,Restaurants!$B$2:$B$21,"Unknown",0)</f>
        <v>Kebab Kingdom</v>
      </c>
      <c r="K57" s="7" t="str">
        <f>_xlfn.XLOOKUP(B57,Restaurants!$A$2:$A$21,Restaurants!$D$2:$D$21,"Unknown",0)</f>
        <v>Cloud Kitchen</v>
      </c>
      <c r="L57" s="19">
        <v>1</v>
      </c>
      <c r="M57" s="19" t="str">
        <f>IF(OR(F57&lt;'Stats Summary'!$B$17,F57&gt;'Stats Summary'!$B$18),"Yes","No")</f>
        <v>No</v>
      </c>
    </row>
    <row r="58" spans="1:13" x14ac:dyDescent="0.35">
      <c r="A58" s="7" t="s">
        <v>259</v>
      </c>
      <c r="B58" s="7" t="s">
        <v>124</v>
      </c>
      <c r="C58" s="7" t="s">
        <v>47</v>
      </c>
      <c r="D58" s="7" t="s">
        <v>122</v>
      </c>
      <c r="E58" s="18">
        <v>46246</v>
      </c>
      <c r="F58" s="19">
        <v>30</v>
      </c>
      <c r="G58" s="19">
        <v>5</v>
      </c>
      <c r="H58" s="20">
        <v>740</v>
      </c>
      <c r="I58" s="7" t="s">
        <v>44</v>
      </c>
      <c r="J58" s="7" t="str">
        <f>_xlfn.XLOOKUP(B58,Restaurants!$A$2:$A$21,Restaurants!$B$2:$B$21,"Unknown",0)</f>
        <v>Wok This Way</v>
      </c>
      <c r="K58" s="7" t="str">
        <f>_xlfn.XLOOKUP(B58,Restaurants!$A$2:$A$21,Restaurants!$D$2:$D$21,"Unknown",0)</f>
        <v>Cloud Kitchen</v>
      </c>
      <c r="L58" s="19">
        <v>1</v>
      </c>
      <c r="M58" s="19" t="str">
        <f>IF(OR(F58&lt;'Stats Summary'!$B$17,F58&gt;'Stats Summary'!$B$18),"Yes","No")</f>
        <v>No</v>
      </c>
    </row>
    <row r="59" spans="1:13" x14ac:dyDescent="0.35">
      <c r="A59" s="7" t="s">
        <v>260</v>
      </c>
      <c r="B59" s="7" t="s">
        <v>139</v>
      </c>
      <c r="C59" s="7" t="s">
        <v>55</v>
      </c>
      <c r="D59" s="7" t="s">
        <v>134</v>
      </c>
      <c r="E59" s="18">
        <v>46246</v>
      </c>
      <c r="F59" s="19">
        <v>32</v>
      </c>
      <c r="G59" s="19">
        <v>4</v>
      </c>
      <c r="H59" s="20">
        <v>415</v>
      </c>
      <c r="I59" s="7" t="s">
        <v>44</v>
      </c>
      <c r="J59" s="7" t="str">
        <f>_xlfn.XLOOKUP(B59,Restaurants!$A$2:$A$21,Restaurants!$B$2:$B$21,"Unknown",0)</f>
        <v>Pizza Plaza</v>
      </c>
      <c r="K59" s="7" t="str">
        <f>_xlfn.XLOOKUP(B59,Restaurants!$A$2:$A$21,Restaurants!$D$2:$D$21,"Unknown",0)</f>
        <v>Dine-in</v>
      </c>
      <c r="L59" s="19">
        <v>1</v>
      </c>
      <c r="M59" s="19" t="str">
        <f>IF(OR(F59&lt;'Stats Summary'!$B$17,F59&gt;'Stats Summary'!$B$18),"Yes","No")</f>
        <v>No</v>
      </c>
    </row>
    <row r="60" spans="1:13" x14ac:dyDescent="0.35">
      <c r="A60" s="7" t="s">
        <v>261</v>
      </c>
      <c r="B60" s="7" t="s">
        <v>139</v>
      </c>
      <c r="C60" s="7" t="s">
        <v>55</v>
      </c>
      <c r="D60" s="7" t="s">
        <v>134</v>
      </c>
      <c r="E60" s="18">
        <v>46246</v>
      </c>
      <c r="F60" s="19">
        <v>25</v>
      </c>
      <c r="G60" s="19">
        <v>4</v>
      </c>
      <c r="H60" s="20">
        <v>575</v>
      </c>
      <c r="I60" s="7" t="s">
        <v>44</v>
      </c>
      <c r="J60" s="7" t="str">
        <f>_xlfn.XLOOKUP(B60,Restaurants!$A$2:$A$21,Restaurants!$B$2:$B$21,"Unknown",0)</f>
        <v>Pizza Plaza</v>
      </c>
      <c r="K60" s="7" t="str">
        <f>_xlfn.XLOOKUP(B60,Restaurants!$A$2:$A$21,Restaurants!$D$2:$D$21,"Unknown",0)</f>
        <v>Dine-in</v>
      </c>
      <c r="L60" s="19">
        <v>1</v>
      </c>
      <c r="M60" s="19" t="str">
        <f>IF(OR(F60&lt;'Stats Summary'!$B$17,F60&gt;'Stats Summary'!$B$18),"Yes","No")</f>
        <v>No</v>
      </c>
    </row>
    <row r="61" spans="1:13" x14ac:dyDescent="0.35">
      <c r="A61" s="7" t="s">
        <v>262</v>
      </c>
      <c r="B61" s="7" t="s">
        <v>137</v>
      </c>
      <c r="C61" s="7" t="s">
        <v>43</v>
      </c>
      <c r="D61" s="7" t="s">
        <v>134</v>
      </c>
      <c r="E61" s="18">
        <v>46247</v>
      </c>
      <c r="F61" s="19">
        <v>26</v>
      </c>
      <c r="G61" s="19">
        <v>4</v>
      </c>
      <c r="H61" s="20">
        <v>285</v>
      </c>
      <c r="I61" s="7" t="s">
        <v>44</v>
      </c>
      <c r="J61" s="7" t="str">
        <f>_xlfn.XLOOKUP(B61,Restaurants!$A$2:$A$21,Restaurants!$B$2:$B$21,"Unknown",0)</f>
        <v>Punjabi Dhaba Express</v>
      </c>
      <c r="K61" s="7" t="str">
        <f>_xlfn.XLOOKUP(B61,Restaurants!$A$2:$A$21,Restaurants!$D$2:$D$21,"Unknown",0)</f>
        <v>QSR</v>
      </c>
      <c r="L61" s="19">
        <v>1</v>
      </c>
      <c r="M61" s="19" t="str">
        <f>IF(OR(F61&lt;'Stats Summary'!$B$17,F61&gt;'Stats Summary'!$B$18),"Yes","No")</f>
        <v>No</v>
      </c>
    </row>
    <row r="62" spans="1:13" x14ac:dyDescent="0.35">
      <c r="A62" s="7" t="s">
        <v>263</v>
      </c>
      <c r="B62" s="7" t="s">
        <v>159</v>
      </c>
      <c r="C62" s="7" t="s">
        <v>43</v>
      </c>
      <c r="D62" s="7" t="s">
        <v>161</v>
      </c>
      <c r="E62" s="18">
        <v>46247</v>
      </c>
      <c r="F62" s="19">
        <v>39</v>
      </c>
      <c r="G62" s="19">
        <v>4</v>
      </c>
      <c r="H62" s="20">
        <v>320</v>
      </c>
      <c r="I62" s="7" t="s">
        <v>44</v>
      </c>
      <c r="J62" s="7" t="str">
        <f>_xlfn.XLOOKUP(B62,Restaurants!$A$2:$A$21,Restaurants!$B$2:$B$21,"Unknown",0)</f>
        <v>Kebab Kingdom</v>
      </c>
      <c r="K62" s="7" t="str">
        <f>_xlfn.XLOOKUP(B62,Restaurants!$A$2:$A$21,Restaurants!$D$2:$D$21,"Unknown",0)</f>
        <v>Cloud Kitchen</v>
      </c>
      <c r="L62" s="19">
        <v>1</v>
      </c>
      <c r="M62" s="19" t="str">
        <f>IF(OR(F62&lt;'Stats Summary'!$B$17,F62&gt;'Stats Summary'!$B$18),"Yes","No")</f>
        <v>No</v>
      </c>
    </row>
    <row r="63" spans="1:13" x14ac:dyDescent="0.35">
      <c r="A63" s="7" t="s">
        <v>264</v>
      </c>
      <c r="B63" s="7" t="s">
        <v>141</v>
      </c>
      <c r="C63" s="7" t="s">
        <v>43</v>
      </c>
      <c r="D63" s="7" t="s">
        <v>143</v>
      </c>
      <c r="E63" s="18">
        <v>46247</v>
      </c>
      <c r="F63" s="19">
        <v>99</v>
      </c>
      <c r="G63" s="19">
        <v>1</v>
      </c>
      <c r="H63" s="20">
        <v>535</v>
      </c>
      <c r="I63" s="7" t="s">
        <v>75</v>
      </c>
      <c r="J63" s="7" t="str">
        <f>_xlfn.XLOOKUP(B63,Restaurants!$A$2:$A$21,Restaurants!$B$2:$B$21,"Unknown",0)</f>
        <v>Masala Mantra</v>
      </c>
      <c r="K63" s="7" t="str">
        <f>_xlfn.XLOOKUP(B63,Restaurants!$A$2:$A$21,Restaurants!$D$2:$D$21,"Unknown",0)</f>
        <v>Cloud Kitchen</v>
      </c>
      <c r="L63" s="19">
        <v>1</v>
      </c>
      <c r="M63" s="19" t="str">
        <f>IF(OR(F63&lt;'Stats Summary'!$B$17,F63&gt;'Stats Summary'!$B$18),"Yes","No")</f>
        <v>Yes</v>
      </c>
    </row>
    <row r="64" spans="1:13" x14ac:dyDescent="0.35">
      <c r="A64" s="7" t="s">
        <v>265</v>
      </c>
      <c r="B64" s="7" t="s">
        <v>127</v>
      </c>
      <c r="C64" s="7" t="s">
        <v>55</v>
      </c>
      <c r="D64" s="7" t="s">
        <v>122</v>
      </c>
      <c r="E64" s="18">
        <v>46249</v>
      </c>
      <c r="F64" s="19">
        <v>22</v>
      </c>
      <c r="G64" s="19">
        <v>5</v>
      </c>
      <c r="H64" s="20">
        <v>300</v>
      </c>
      <c r="I64" s="7" t="s">
        <v>44</v>
      </c>
      <c r="J64" s="7" t="str">
        <f>_xlfn.XLOOKUP(B64,Restaurants!$A$2:$A$21,Restaurants!$B$2:$B$21,"Unknown",0)</f>
        <v>Burger Barn</v>
      </c>
      <c r="K64" s="7" t="str">
        <f>_xlfn.XLOOKUP(B64,Restaurants!$A$2:$A$21,Restaurants!$D$2:$D$21,"Unknown",0)</f>
        <v>QSR</v>
      </c>
      <c r="L64" s="19">
        <v>1</v>
      </c>
      <c r="M64" s="19" t="str">
        <f>IF(OR(F64&lt;'Stats Summary'!$B$17,F64&gt;'Stats Summary'!$B$18),"Yes","No")</f>
        <v>No</v>
      </c>
    </row>
    <row r="65" spans="1:13" x14ac:dyDescent="0.35">
      <c r="A65" s="7" t="s">
        <v>266</v>
      </c>
      <c r="B65" s="7" t="s">
        <v>150</v>
      </c>
      <c r="C65" s="7" t="s">
        <v>43</v>
      </c>
      <c r="D65" s="7" t="s">
        <v>152</v>
      </c>
      <c r="E65" s="18">
        <v>46249</v>
      </c>
      <c r="F65" s="19">
        <v>30</v>
      </c>
      <c r="G65" s="19">
        <v>4</v>
      </c>
      <c r="H65" s="20">
        <v>520</v>
      </c>
      <c r="I65" s="7" t="s">
        <v>44</v>
      </c>
      <c r="J65" s="7" t="str">
        <f>_xlfn.XLOOKUP(B65,Restaurants!$A$2:$A$21,Restaurants!$B$2:$B$21,"Unknown",0)</f>
        <v>Royal Biryani House</v>
      </c>
      <c r="K65" s="7" t="str">
        <f>_xlfn.XLOOKUP(B65,Restaurants!$A$2:$A$21,Restaurants!$D$2:$D$21,"Unknown",0)</f>
        <v>Dine-in</v>
      </c>
      <c r="L65" s="19">
        <v>1</v>
      </c>
      <c r="M65" s="19" t="str">
        <f>IF(OR(F65&lt;'Stats Summary'!$B$17,F65&gt;'Stats Summary'!$B$18),"Yes","No")</f>
        <v>No</v>
      </c>
    </row>
    <row r="66" spans="1:13" x14ac:dyDescent="0.35">
      <c r="A66" s="7" t="s">
        <v>267</v>
      </c>
      <c r="B66" s="7" t="s">
        <v>127</v>
      </c>
      <c r="C66" s="7" t="s">
        <v>55</v>
      </c>
      <c r="D66" s="7" t="s">
        <v>122</v>
      </c>
      <c r="E66" s="18">
        <v>46251</v>
      </c>
      <c r="F66" s="19">
        <v>26</v>
      </c>
      <c r="G66" s="19">
        <v>1</v>
      </c>
      <c r="H66" s="20">
        <v>310</v>
      </c>
      <c r="I66" s="7" t="s">
        <v>66</v>
      </c>
      <c r="J66" s="7" t="str">
        <f>_xlfn.XLOOKUP(B66,Restaurants!$A$2:$A$21,Restaurants!$B$2:$B$21,"Unknown",0)</f>
        <v>Burger Barn</v>
      </c>
      <c r="K66" s="7" t="str">
        <f>_xlfn.XLOOKUP(B66,Restaurants!$A$2:$A$21,Restaurants!$D$2:$D$21,"Unknown",0)</f>
        <v>QSR</v>
      </c>
      <c r="L66" s="19">
        <v>1</v>
      </c>
      <c r="M66" s="19" t="str">
        <f>IF(OR(F66&lt;'Stats Summary'!$B$17,F66&gt;'Stats Summary'!$B$18),"Yes","No")</f>
        <v>No</v>
      </c>
    </row>
    <row r="67" spans="1:13" x14ac:dyDescent="0.35">
      <c r="A67" s="7" t="s">
        <v>268</v>
      </c>
      <c r="B67" s="7" t="s">
        <v>150</v>
      </c>
      <c r="C67" s="7" t="s">
        <v>43</v>
      </c>
      <c r="D67" s="7" t="s">
        <v>152</v>
      </c>
      <c r="E67" s="18">
        <v>46252</v>
      </c>
      <c r="F67" s="19">
        <v>14</v>
      </c>
      <c r="G67" s="19">
        <v>5</v>
      </c>
      <c r="H67" s="20">
        <v>455</v>
      </c>
      <c r="I67" s="7" t="s">
        <v>44</v>
      </c>
      <c r="J67" s="7" t="str">
        <f>_xlfn.XLOOKUP(B67,Restaurants!$A$2:$A$21,Restaurants!$B$2:$B$21,"Unknown",0)</f>
        <v>Royal Biryani House</v>
      </c>
      <c r="K67" s="7" t="str">
        <f>_xlfn.XLOOKUP(B67,Restaurants!$A$2:$A$21,Restaurants!$D$2:$D$21,"Unknown",0)</f>
        <v>Dine-in</v>
      </c>
      <c r="L67" s="19">
        <v>1</v>
      </c>
      <c r="M67" s="19" t="str">
        <f>IF(OR(F67&lt;'Stats Summary'!$B$17,F67&gt;'Stats Summary'!$B$18),"Yes","No")</f>
        <v>No</v>
      </c>
    </row>
    <row r="68" spans="1:13" x14ac:dyDescent="0.35">
      <c r="A68" s="7" t="s">
        <v>269</v>
      </c>
      <c r="B68" s="7" t="s">
        <v>135</v>
      </c>
      <c r="C68" s="7" t="s">
        <v>47</v>
      </c>
      <c r="D68" s="7" t="s">
        <v>134</v>
      </c>
      <c r="E68" s="18">
        <v>46252</v>
      </c>
      <c r="F68" s="19">
        <v>30</v>
      </c>
      <c r="G68" s="19">
        <v>5</v>
      </c>
      <c r="H68" s="20">
        <v>385</v>
      </c>
      <c r="I68" s="7" t="s">
        <v>44</v>
      </c>
      <c r="J68" s="7" t="str">
        <f>_xlfn.XLOOKUP(B68,Restaurants!$A$2:$A$21,Restaurants!$B$2:$B$21,"Unknown",0)</f>
        <v>Noodle Nest</v>
      </c>
      <c r="K68" s="7" t="str">
        <f>_xlfn.XLOOKUP(B68,Restaurants!$A$2:$A$21,Restaurants!$D$2:$D$21,"Unknown",0)</f>
        <v>QSR</v>
      </c>
      <c r="L68" s="19">
        <v>1</v>
      </c>
      <c r="M68" s="19" t="str">
        <f>IF(OR(F68&lt;'Stats Summary'!$B$17,F68&gt;'Stats Summary'!$B$18),"Yes","No")</f>
        <v>No</v>
      </c>
    </row>
    <row r="69" spans="1:13" x14ac:dyDescent="0.35">
      <c r="A69" s="7" t="s">
        <v>270</v>
      </c>
      <c r="B69" s="7" t="s">
        <v>148</v>
      </c>
      <c r="C69" s="7" t="s">
        <v>55</v>
      </c>
      <c r="D69" s="7" t="s">
        <v>143</v>
      </c>
      <c r="E69" s="18">
        <v>46253</v>
      </c>
      <c r="F69" s="19">
        <v>21</v>
      </c>
      <c r="G69" s="19">
        <v>5</v>
      </c>
      <c r="H69" s="20">
        <v>225</v>
      </c>
      <c r="I69" s="7" t="s">
        <v>44</v>
      </c>
      <c r="J69" s="7" t="str">
        <f>_xlfn.XLOOKUP(B69,Restaurants!$A$2:$A$21,Restaurants!$B$2:$B$21,"Unknown",0)</f>
        <v>Crispy Crunch</v>
      </c>
      <c r="K69" s="7" t="str">
        <f>_xlfn.XLOOKUP(B69,Restaurants!$A$2:$A$21,Restaurants!$D$2:$D$21,"Unknown",0)</f>
        <v>Cloud Kitchen</v>
      </c>
      <c r="L69" s="19">
        <v>1</v>
      </c>
      <c r="M69" s="19" t="str">
        <f>IF(OR(F69&lt;'Stats Summary'!$B$17,F69&gt;'Stats Summary'!$B$18),"Yes","No")</f>
        <v>No</v>
      </c>
    </row>
    <row r="70" spans="1:13" x14ac:dyDescent="0.35">
      <c r="A70" s="7" t="s">
        <v>271</v>
      </c>
      <c r="B70" s="7" t="s">
        <v>139</v>
      </c>
      <c r="C70" s="7" t="s">
        <v>55</v>
      </c>
      <c r="D70" s="7" t="s">
        <v>134</v>
      </c>
      <c r="E70" s="18">
        <v>46254</v>
      </c>
      <c r="F70" s="19">
        <v>43</v>
      </c>
      <c r="G70" s="19">
        <v>5</v>
      </c>
      <c r="H70" s="20">
        <v>715</v>
      </c>
      <c r="I70" s="7" t="s">
        <v>44</v>
      </c>
      <c r="J70" s="7" t="str">
        <f>_xlfn.XLOOKUP(B70,Restaurants!$A$2:$A$21,Restaurants!$B$2:$B$21,"Unknown",0)</f>
        <v>Pizza Plaza</v>
      </c>
      <c r="K70" s="7" t="str">
        <f>_xlfn.XLOOKUP(B70,Restaurants!$A$2:$A$21,Restaurants!$D$2:$D$21,"Unknown",0)</f>
        <v>Dine-in</v>
      </c>
      <c r="L70" s="19">
        <v>1</v>
      </c>
      <c r="M70" s="19" t="str">
        <f>IF(OR(F70&lt;'Stats Summary'!$B$17,F70&gt;'Stats Summary'!$B$18),"Yes","No")</f>
        <v>No</v>
      </c>
    </row>
    <row r="71" spans="1:13" x14ac:dyDescent="0.35">
      <c r="A71" s="7" t="s">
        <v>272</v>
      </c>
      <c r="B71" s="7" t="s">
        <v>135</v>
      </c>
      <c r="C71" s="7" t="s">
        <v>47</v>
      </c>
      <c r="D71" s="7" t="s">
        <v>134</v>
      </c>
      <c r="E71" s="18">
        <v>46255</v>
      </c>
      <c r="F71" s="19">
        <v>29</v>
      </c>
      <c r="G71" s="19">
        <v>5</v>
      </c>
      <c r="H71" s="20">
        <v>260</v>
      </c>
      <c r="I71" s="7" t="s">
        <v>44</v>
      </c>
      <c r="J71" s="7" t="str">
        <f>_xlfn.XLOOKUP(B71,Restaurants!$A$2:$A$21,Restaurants!$B$2:$B$21,"Unknown",0)</f>
        <v>Noodle Nest</v>
      </c>
      <c r="K71" s="7" t="str">
        <f>_xlfn.XLOOKUP(B71,Restaurants!$A$2:$A$21,Restaurants!$D$2:$D$21,"Unknown",0)</f>
        <v>QSR</v>
      </c>
      <c r="L71" s="19">
        <v>1</v>
      </c>
      <c r="M71" s="19" t="str">
        <f>IF(OR(F71&lt;'Stats Summary'!$B$17,F71&gt;'Stats Summary'!$B$18),"Yes","No")</f>
        <v>No</v>
      </c>
    </row>
    <row r="72" spans="1:13" x14ac:dyDescent="0.35">
      <c r="A72" s="7" t="s">
        <v>273</v>
      </c>
      <c r="B72" s="7" t="s">
        <v>166</v>
      </c>
      <c r="C72" s="7" t="s">
        <v>55</v>
      </c>
      <c r="D72" s="7" t="s">
        <v>161</v>
      </c>
      <c r="E72" s="18">
        <v>46257</v>
      </c>
      <c r="F72" s="19">
        <v>28</v>
      </c>
      <c r="G72" s="19">
        <v>2</v>
      </c>
      <c r="H72" s="20">
        <v>485</v>
      </c>
      <c r="I72" s="7" t="s">
        <v>66</v>
      </c>
      <c r="J72" s="7" t="str">
        <f>_xlfn.XLOOKUP(B72,Restaurants!$A$2:$A$21,Restaurants!$B$2:$B$21,"Unknown",0)</f>
        <v>Fries &amp; Fizz</v>
      </c>
      <c r="K72" s="7" t="str">
        <f>_xlfn.XLOOKUP(B72,Restaurants!$A$2:$A$21,Restaurants!$D$2:$D$21,"Unknown",0)</f>
        <v>QSR</v>
      </c>
      <c r="L72" s="19">
        <v>1</v>
      </c>
      <c r="M72" s="19" t="str">
        <f>IF(OR(F72&lt;'Stats Summary'!$B$17,F72&gt;'Stats Summary'!$B$18),"Yes","No")</f>
        <v>No</v>
      </c>
    </row>
    <row r="73" spans="1:13" x14ac:dyDescent="0.35">
      <c r="A73" s="7" t="s">
        <v>274</v>
      </c>
      <c r="B73" s="7" t="s">
        <v>144</v>
      </c>
      <c r="C73" s="7" t="s">
        <v>47</v>
      </c>
      <c r="D73" s="7" t="s">
        <v>143</v>
      </c>
      <c r="E73" s="18">
        <v>46257</v>
      </c>
      <c r="F73" s="19">
        <v>36</v>
      </c>
      <c r="G73" s="19">
        <v>4</v>
      </c>
      <c r="H73" s="20">
        <v>570</v>
      </c>
      <c r="I73" s="7" t="s">
        <v>44</v>
      </c>
      <c r="J73" s="7" t="str">
        <f>_xlfn.XLOOKUP(B73,Restaurants!$A$2:$A$21,Restaurants!$B$2:$B$21,"Unknown",0)</f>
        <v>Dragon Bowl</v>
      </c>
      <c r="K73" s="7" t="str">
        <f>_xlfn.XLOOKUP(B73,Restaurants!$A$2:$A$21,Restaurants!$D$2:$D$21,"Unknown",0)</f>
        <v>Dine-in</v>
      </c>
      <c r="L73" s="19">
        <v>1</v>
      </c>
      <c r="M73" s="19" t="str">
        <f>IF(OR(F73&lt;'Stats Summary'!$B$17,F73&gt;'Stats Summary'!$B$18),"Yes","No")</f>
        <v>No</v>
      </c>
    </row>
    <row r="74" spans="1:13" x14ac:dyDescent="0.35">
      <c r="A74" s="7" t="s">
        <v>275</v>
      </c>
      <c r="B74" s="7" t="s">
        <v>135</v>
      </c>
      <c r="C74" s="7" t="s">
        <v>47</v>
      </c>
      <c r="D74" s="7" t="s">
        <v>134</v>
      </c>
      <c r="E74" s="18">
        <v>46258</v>
      </c>
      <c r="F74" s="19">
        <v>22</v>
      </c>
      <c r="G74" s="19">
        <v>5</v>
      </c>
      <c r="H74" s="20">
        <v>375</v>
      </c>
      <c r="I74" s="7" t="s">
        <v>44</v>
      </c>
      <c r="J74" s="7" t="str">
        <f>_xlfn.XLOOKUP(B74,Restaurants!$A$2:$A$21,Restaurants!$B$2:$B$21,"Unknown",0)</f>
        <v>Noodle Nest</v>
      </c>
      <c r="K74" s="7" t="str">
        <f>_xlfn.XLOOKUP(B74,Restaurants!$A$2:$A$21,Restaurants!$D$2:$D$21,"Unknown",0)</f>
        <v>QSR</v>
      </c>
      <c r="L74" s="19">
        <v>1</v>
      </c>
      <c r="M74" s="19" t="str">
        <f>IF(OR(F74&lt;'Stats Summary'!$B$17,F74&gt;'Stats Summary'!$B$18),"Yes","No")</f>
        <v>No</v>
      </c>
    </row>
    <row r="75" spans="1:13" x14ac:dyDescent="0.35">
      <c r="A75" s="7" t="s">
        <v>276</v>
      </c>
      <c r="B75" s="7" t="s">
        <v>164</v>
      </c>
      <c r="C75" s="7" t="s">
        <v>50</v>
      </c>
      <c r="D75" s="7" t="s">
        <v>161</v>
      </c>
      <c r="E75" s="18">
        <v>46258</v>
      </c>
      <c r="F75" s="19">
        <v>39</v>
      </c>
      <c r="G75" s="19">
        <v>5</v>
      </c>
      <c r="H75" s="20">
        <v>410</v>
      </c>
      <c r="I75" s="7" t="s">
        <v>44</v>
      </c>
      <c r="J75" s="7" t="str">
        <f>_xlfn.XLOOKUP(B75,Restaurants!$A$2:$A$21,Restaurants!$B$2:$B$21,"Unknown",0)</f>
        <v>Sambar Spot</v>
      </c>
      <c r="K75" s="7" t="str">
        <f>_xlfn.XLOOKUP(B75,Restaurants!$A$2:$A$21,Restaurants!$D$2:$D$21,"Unknown",0)</f>
        <v>Cloud Kitchen</v>
      </c>
      <c r="L75" s="19">
        <v>1</v>
      </c>
      <c r="M75" s="19" t="str">
        <f>IF(OR(F75&lt;'Stats Summary'!$B$17,F75&gt;'Stats Summary'!$B$18),"Yes","No")</f>
        <v>No</v>
      </c>
    </row>
    <row r="76" spans="1:13" x14ac:dyDescent="0.35">
      <c r="A76" s="7" t="s">
        <v>277</v>
      </c>
      <c r="B76" s="7" t="s">
        <v>127</v>
      </c>
      <c r="C76" s="7" t="s">
        <v>55</v>
      </c>
      <c r="D76" s="7" t="s">
        <v>122</v>
      </c>
      <c r="E76" s="18">
        <v>46259</v>
      </c>
      <c r="F76" s="19">
        <v>35</v>
      </c>
      <c r="G76" s="19">
        <v>3</v>
      </c>
      <c r="H76" s="20">
        <v>275</v>
      </c>
      <c r="I76" s="7" t="s">
        <v>44</v>
      </c>
      <c r="J76" s="7" t="str">
        <f>_xlfn.XLOOKUP(B76,Restaurants!$A$2:$A$21,Restaurants!$B$2:$B$21,"Unknown",0)</f>
        <v>Burger Barn</v>
      </c>
      <c r="K76" s="7" t="str">
        <f>_xlfn.XLOOKUP(B76,Restaurants!$A$2:$A$21,Restaurants!$D$2:$D$21,"Unknown",0)</f>
        <v>QSR</v>
      </c>
      <c r="L76" s="19">
        <v>1</v>
      </c>
      <c r="M76" s="19" t="str">
        <f>IF(OR(F76&lt;'Stats Summary'!$B$17,F76&gt;'Stats Summary'!$B$18),"Yes","No")</f>
        <v>No</v>
      </c>
    </row>
    <row r="77" spans="1:13" x14ac:dyDescent="0.35">
      <c r="A77" s="7" t="s">
        <v>278</v>
      </c>
      <c r="B77" s="7" t="s">
        <v>135</v>
      </c>
      <c r="C77" s="7" t="s">
        <v>47</v>
      </c>
      <c r="D77" s="7" t="s">
        <v>134</v>
      </c>
      <c r="E77" s="18">
        <v>46259</v>
      </c>
      <c r="F77" s="19">
        <v>27</v>
      </c>
      <c r="G77" s="19">
        <v>4</v>
      </c>
      <c r="H77" s="20">
        <v>485</v>
      </c>
      <c r="I77" s="7" t="s">
        <v>44</v>
      </c>
      <c r="J77" s="7" t="str">
        <f>_xlfn.XLOOKUP(B77,Restaurants!$A$2:$A$21,Restaurants!$B$2:$B$21,"Unknown",0)</f>
        <v>Noodle Nest</v>
      </c>
      <c r="K77" s="7" t="str">
        <f>_xlfn.XLOOKUP(B77,Restaurants!$A$2:$A$21,Restaurants!$D$2:$D$21,"Unknown",0)</f>
        <v>QSR</v>
      </c>
      <c r="L77" s="19">
        <v>1</v>
      </c>
      <c r="M77" s="19" t="str">
        <f>IF(OR(F77&lt;'Stats Summary'!$B$17,F77&gt;'Stats Summary'!$B$18),"Yes","No")</f>
        <v>No</v>
      </c>
    </row>
    <row r="78" spans="1:13" x14ac:dyDescent="0.35">
      <c r="A78" s="7" t="s">
        <v>279</v>
      </c>
      <c r="B78" s="7" t="s">
        <v>139</v>
      </c>
      <c r="C78" s="7" t="s">
        <v>55</v>
      </c>
      <c r="D78" s="7" t="s">
        <v>134</v>
      </c>
      <c r="E78" s="18">
        <v>46261</v>
      </c>
      <c r="F78" s="19">
        <v>36</v>
      </c>
      <c r="G78" s="19">
        <v>3</v>
      </c>
      <c r="H78" s="20">
        <v>855</v>
      </c>
      <c r="I78" s="7" t="s">
        <v>44</v>
      </c>
      <c r="J78" s="7" t="str">
        <f>_xlfn.XLOOKUP(B78,Restaurants!$A$2:$A$21,Restaurants!$B$2:$B$21,"Unknown",0)</f>
        <v>Pizza Plaza</v>
      </c>
      <c r="K78" s="7" t="str">
        <f>_xlfn.XLOOKUP(B78,Restaurants!$A$2:$A$21,Restaurants!$D$2:$D$21,"Unknown",0)</f>
        <v>Dine-in</v>
      </c>
      <c r="L78" s="19">
        <v>1</v>
      </c>
      <c r="M78" s="19" t="str">
        <f>IF(OR(F78&lt;'Stats Summary'!$B$17,F78&gt;'Stats Summary'!$B$18),"Yes","No")</f>
        <v>No</v>
      </c>
    </row>
    <row r="79" spans="1:13" x14ac:dyDescent="0.35">
      <c r="A79" s="7" t="s">
        <v>280</v>
      </c>
      <c r="B79" s="7" t="s">
        <v>153</v>
      </c>
      <c r="C79" s="7" t="s">
        <v>47</v>
      </c>
      <c r="D79" s="7" t="s">
        <v>152</v>
      </c>
      <c r="E79" s="18">
        <v>46261</v>
      </c>
      <c r="F79" s="19">
        <v>18</v>
      </c>
      <c r="G79" s="19">
        <v>5</v>
      </c>
      <c r="H79" s="20">
        <v>545</v>
      </c>
      <c r="I79" s="7" t="s">
        <v>44</v>
      </c>
      <c r="J79" s="7" t="str">
        <f>_xlfn.XLOOKUP(B79,Restaurants!$A$2:$A$21,Restaurants!$B$2:$B$21,"Unknown",0)</f>
        <v>Chopstick Corner</v>
      </c>
      <c r="K79" s="7" t="str">
        <f>_xlfn.XLOOKUP(B79,Restaurants!$A$2:$A$21,Restaurants!$D$2:$D$21,"Unknown",0)</f>
        <v>Cloud Kitchen</v>
      </c>
      <c r="L79" s="19">
        <v>1</v>
      </c>
      <c r="M79" s="19" t="str">
        <f>IF(OR(F79&lt;'Stats Summary'!$B$17,F79&gt;'Stats Summary'!$B$18),"Yes","No")</f>
        <v>No</v>
      </c>
    </row>
    <row r="80" spans="1:13" x14ac:dyDescent="0.35">
      <c r="A80" s="7" t="s">
        <v>281</v>
      </c>
      <c r="B80" s="7" t="s">
        <v>141</v>
      </c>
      <c r="C80" s="7" t="s">
        <v>43</v>
      </c>
      <c r="D80" s="7" t="s">
        <v>143</v>
      </c>
      <c r="E80" s="18">
        <v>46262</v>
      </c>
      <c r="F80" s="19">
        <v>33</v>
      </c>
      <c r="G80" s="19">
        <v>4</v>
      </c>
      <c r="H80" s="20">
        <v>280</v>
      </c>
      <c r="I80" s="7" t="s">
        <v>44</v>
      </c>
      <c r="J80" s="7" t="str">
        <f>_xlfn.XLOOKUP(B80,Restaurants!$A$2:$A$21,Restaurants!$B$2:$B$21,"Unknown",0)</f>
        <v>Masala Mantra</v>
      </c>
      <c r="K80" s="7" t="str">
        <f>_xlfn.XLOOKUP(B80,Restaurants!$A$2:$A$21,Restaurants!$D$2:$D$21,"Unknown",0)</f>
        <v>Cloud Kitchen</v>
      </c>
      <c r="L80" s="19">
        <v>1</v>
      </c>
      <c r="M80" s="19" t="str">
        <f>IF(OR(F80&lt;'Stats Summary'!$B$17,F80&gt;'Stats Summary'!$B$18),"Yes","No")</f>
        <v>No</v>
      </c>
    </row>
    <row r="81" spans="1:13" x14ac:dyDescent="0.35">
      <c r="A81" s="7" t="s">
        <v>282</v>
      </c>
      <c r="B81" s="7" t="s">
        <v>139</v>
      </c>
      <c r="C81" s="7" t="s">
        <v>55</v>
      </c>
      <c r="D81" s="7" t="s">
        <v>134</v>
      </c>
      <c r="E81" s="18">
        <v>46262</v>
      </c>
      <c r="F81" s="19">
        <v>25</v>
      </c>
      <c r="G81" s="19">
        <v>2</v>
      </c>
      <c r="H81" s="20">
        <v>575</v>
      </c>
      <c r="I81" s="7" t="s">
        <v>66</v>
      </c>
      <c r="J81" s="7" t="str">
        <f>_xlfn.XLOOKUP(B81,Restaurants!$A$2:$A$21,Restaurants!$B$2:$B$21,"Unknown",0)</f>
        <v>Pizza Plaza</v>
      </c>
      <c r="K81" s="7" t="str">
        <f>_xlfn.XLOOKUP(B81,Restaurants!$A$2:$A$21,Restaurants!$D$2:$D$21,"Unknown",0)</f>
        <v>Dine-in</v>
      </c>
      <c r="L81" s="19">
        <v>1</v>
      </c>
      <c r="M81" s="19" t="str">
        <f>IF(OR(F81&lt;'Stats Summary'!$B$17,F81&gt;'Stats Summary'!$B$18),"Yes","No")</f>
        <v>No</v>
      </c>
    </row>
    <row r="82" spans="1:13" x14ac:dyDescent="0.35">
      <c r="A82" s="7" t="s">
        <v>283</v>
      </c>
      <c r="B82" s="7" t="s">
        <v>150</v>
      </c>
      <c r="C82" s="7" t="s">
        <v>43</v>
      </c>
      <c r="D82" s="7" t="s">
        <v>152</v>
      </c>
      <c r="E82" s="18">
        <v>46263</v>
      </c>
      <c r="F82" s="19">
        <v>35</v>
      </c>
      <c r="G82" s="19">
        <v>4</v>
      </c>
      <c r="H82" s="20">
        <v>1015</v>
      </c>
      <c r="I82" s="7" t="s">
        <v>44</v>
      </c>
      <c r="J82" s="7" t="str">
        <f>_xlfn.XLOOKUP(B82,Restaurants!$A$2:$A$21,Restaurants!$B$2:$B$21,"Unknown",0)</f>
        <v>Royal Biryani House</v>
      </c>
      <c r="K82" s="7" t="str">
        <f>_xlfn.XLOOKUP(B82,Restaurants!$A$2:$A$21,Restaurants!$D$2:$D$21,"Unknown",0)</f>
        <v>Dine-in</v>
      </c>
      <c r="L82" s="19">
        <v>1</v>
      </c>
      <c r="M82" s="19" t="str">
        <f>IF(OR(F82&lt;'Stats Summary'!$B$17,F82&gt;'Stats Summary'!$B$18),"Yes","No")</f>
        <v>No</v>
      </c>
    </row>
    <row r="83" spans="1:13" x14ac:dyDescent="0.35">
      <c r="A83" s="7" t="s">
        <v>284</v>
      </c>
      <c r="B83" s="7" t="s">
        <v>155</v>
      </c>
      <c r="C83" s="7" t="s">
        <v>50</v>
      </c>
      <c r="D83" s="7" t="s">
        <v>152</v>
      </c>
      <c r="E83" s="18">
        <v>46263</v>
      </c>
      <c r="F83" s="19">
        <v>30</v>
      </c>
      <c r="G83" s="19">
        <v>4</v>
      </c>
      <c r="H83" s="20">
        <v>1185</v>
      </c>
      <c r="I83" s="7" t="s">
        <v>44</v>
      </c>
      <c r="J83" s="7" t="str">
        <f>_xlfn.XLOOKUP(B83,Restaurants!$A$2:$A$21,Restaurants!$B$2:$B$21,"Unknown",0)</f>
        <v>Filter Coffee &amp; Meals</v>
      </c>
      <c r="K83" s="7" t="str">
        <f>_xlfn.XLOOKUP(B83,Restaurants!$A$2:$A$21,Restaurants!$D$2:$D$21,"Unknown",0)</f>
        <v>Dine-in</v>
      </c>
      <c r="L83" s="19">
        <v>1</v>
      </c>
      <c r="M83" s="19" t="str">
        <f>IF(OR(F83&lt;'Stats Summary'!$B$17,F83&gt;'Stats Summary'!$B$18),"Yes","No")</f>
        <v>No</v>
      </c>
    </row>
    <row r="84" spans="1:13" x14ac:dyDescent="0.35">
      <c r="A84" s="7" t="s">
        <v>285</v>
      </c>
      <c r="B84" s="7" t="s">
        <v>124</v>
      </c>
      <c r="C84" s="7" t="s">
        <v>47</v>
      </c>
      <c r="D84" s="7" t="s">
        <v>122</v>
      </c>
      <c r="E84" s="18">
        <v>46264</v>
      </c>
      <c r="F84" s="19">
        <v>38</v>
      </c>
      <c r="G84" s="19">
        <v>5</v>
      </c>
      <c r="H84" s="20">
        <v>575</v>
      </c>
      <c r="I84" s="7" t="s">
        <v>44</v>
      </c>
      <c r="J84" s="7" t="str">
        <f>_xlfn.XLOOKUP(B84,Restaurants!$A$2:$A$21,Restaurants!$B$2:$B$21,"Unknown",0)</f>
        <v>Wok This Way</v>
      </c>
      <c r="K84" s="7" t="str">
        <f>_xlfn.XLOOKUP(B84,Restaurants!$A$2:$A$21,Restaurants!$D$2:$D$21,"Unknown",0)</f>
        <v>Cloud Kitchen</v>
      </c>
      <c r="L84" s="19">
        <v>1</v>
      </c>
      <c r="M84" s="19" t="str">
        <f>IF(OR(F84&lt;'Stats Summary'!$B$17,F84&gt;'Stats Summary'!$B$18),"Yes","No")</f>
        <v>No</v>
      </c>
    </row>
    <row r="85" spans="1:13" x14ac:dyDescent="0.35">
      <c r="A85" s="7" t="s">
        <v>286</v>
      </c>
      <c r="B85" s="7" t="s">
        <v>153</v>
      </c>
      <c r="C85" s="7" t="s">
        <v>47</v>
      </c>
      <c r="D85" s="7" t="s">
        <v>152</v>
      </c>
      <c r="E85" s="18">
        <v>46264</v>
      </c>
      <c r="F85" s="19">
        <v>34</v>
      </c>
      <c r="G85" s="19">
        <v>5</v>
      </c>
      <c r="H85" s="20">
        <v>905</v>
      </c>
      <c r="I85" s="7" t="s">
        <v>44</v>
      </c>
      <c r="J85" s="7" t="str">
        <f>_xlfn.XLOOKUP(B85,Restaurants!$A$2:$A$21,Restaurants!$B$2:$B$21,"Unknown",0)</f>
        <v>Chopstick Corner</v>
      </c>
      <c r="K85" s="7" t="str">
        <f>_xlfn.XLOOKUP(B85,Restaurants!$A$2:$A$21,Restaurants!$D$2:$D$21,"Unknown",0)</f>
        <v>Cloud Kitchen</v>
      </c>
      <c r="L85" s="19">
        <v>1</v>
      </c>
      <c r="M85" s="19" t="str">
        <f>IF(OR(F85&lt;'Stats Summary'!$B$17,F85&gt;'Stats Summary'!$B$18),"Yes","No")</f>
        <v>No</v>
      </c>
    </row>
    <row r="86" spans="1:13" x14ac:dyDescent="0.35">
      <c r="A86" s="7" t="s">
        <v>287</v>
      </c>
      <c r="B86" s="7" t="s">
        <v>141</v>
      </c>
      <c r="C86" s="7" t="s">
        <v>43</v>
      </c>
      <c r="D86" s="7" t="s">
        <v>143</v>
      </c>
      <c r="E86" s="18">
        <v>46265</v>
      </c>
      <c r="F86" s="19">
        <v>31</v>
      </c>
      <c r="G86" s="19">
        <v>5</v>
      </c>
      <c r="H86" s="20">
        <v>255</v>
      </c>
      <c r="I86" s="7" t="s">
        <v>44</v>
      </c>
      <c r="J86" s="7" t="str">
        <f>_xlfn.XLOOKUP(B86,Restaurants!$A$2:$A$21,Restaurants!$B$2:$B$21,"Unknown",0)</f>
        <v>Masala Mantra</v>
      </c>
      <c r="K86" s="7" t="str">
        <f>_xlfn.XLOOKUP(B86,Restaurants!$A$2:$A$21,Restaurants!$D$2:$D$21,"Unknown",0)</f>
        <v>Cloud Kitchen</v>
      </c>
      <c r="L86" s="19">
        <v>1</v>
      </c>
      <c r="M86" s="19" t="str">
        <f>IF(OR(F86&lt;'Stats Summary'!$B$17,F86&gt;'Stats Summary'!$B$18),"Yes","No")</f>
        <v>No</v>
      </c>
    </row>
    <row r="87" spans="1:13" x14ac:dyDescent="0.35">
      <c r="A87" s="7" t="s">
        <v>288</v>
      </c>
      <c r="B87" s="7" t="s">
        <v>157</v>
      </c>
      <c r="C87" s="7" t="s">
        <v>55</v>
      </c>
      <c r="D87" s="7" t="s">
        <v>152</v>
      </c>
      <c r="E87" s="18">
        <v>46265</v>
      </c>
      <c r="F87" s="19">
        <v>33</v>
      </c>
      <c r="G87" s="19">
        <v>5</v>
      </c>
      <c r="H87" s="20">
        <v>905</v>
      </c>
      <c r="I87" s="7" t="s">
        <v>44</v>
      </c>
      <c r="J87" s="7" t="str">
        <f>_xlfn.XLOOKUP(B87,Restaurants!$A$2:$A$21,Restaurants!$B$2:$B$21,"Unknown",0)</f>
        <v>Wrap &amp; Roll</v>
      </c>
      <c r="K87" s="7" t="str">
        <f>_xlfn.XLOOKUP(B87,Restaurants!$A$2:$A$21,Restaurants!$D$2:$D$21,"Unknown",0)</f>
        <v>QSR</v>
      </c>
      <c r="L87" s="19">
        <v>1</v>
      </c>
      <c r="M87" s="19" t="str">
        <f>IF(OR(F87&lt;'Stats Summary'!$B$17,F87&gt;'Stats Summary'!$B$18),"Yes","No")</f>
        <v>No</v>
      </c>
    </row>
    <row r="88" spans="1:13" x14ac:dyDescent="0.35">
      <c r="A88" s="7" t="s">
        <v>289</v>
      </c>
      <c r="B88" s="7" t="s">
        <v>132</v>
      </c>
      <c r="C88" s="7" t="s">
        <v>50</v>
      </c>
      <c r="D88" s="7" t="s">
        <v>134</v>
      </c>
      <c r="E88" s="18">
        <v>46266</v>
      </c>
      <c r="F88" s="19">
        <v>22</v>
      </c>
      <c r="G88" s="19">
        <v>5</v>
      </c>
      <c r="H88" s="20">
        <v>755</v>
      </c>
      <c r="I88" s="7" t="s">
        <v>44</v>
      </c>
      <c r="J88" s="7" t="str">
        <f>_xlfn.XLOOKUP(B88,Restaurants!$A$2:$A$21,Restaurants!$B$2:$B$21,"Unknown",0)</f>
        <v>Curry Leaf Kitchen</v>
      </c>
      <c r="K88" s="7" t="str">
        <f>_xlfn.XLOOKUP(B88,Restaurants!$A$2:$A$21,Restaurants!$D$2:$D$21,"Unknown",0)</f>
        <v>Cloud Kitchen</v>
      </c>
      <c r="L88" s="19">
        <v>1</v>
      </c>
      <c r="M88" s="19" t="str">
        <f>IF(OR(F88&lt;'Stats Summary'!$B$17,F88&gt;'Stats Summary'!$B$18),"Yes","No")</f>
        <v>No</v>
      </c>
    </row>
    <row r="89" spans="1:13" x14ac:dyDescent="0.35">
      <c r="A89" s="7" t="s">
        <v>290</v>
      </c>
      <c r="B89" s="7" t="s">
        <v>146</v>
      </c>
      <c r="C89" s="7" t="s">
        <v>50</v>
      </c>
      <c r="D89" s="7" t="s">
        <v>143</v>
      </c>
      <c r="E89" s="18">
        <v>46268</v>
      </c>
      <c r="F89" s="19">
        <v>24</v>
      </c>
      <c r="G89" s="19">
        <v>5</v>
      </c>
      <c r="H89" s="20">
        <v>155</v>
      </c>
      <c r="I89" s="7" t="s">
        <v>44</v>
      </c>
      <c r="J89" s="7" t="str">
        <f>_xlfn.XLOOKUP(B89,Restaurants!$A$2:$A$21,Restaurants!$B$2:$B$21,"Unknown",0)</f>
        <v>Idli Express</v>
      </c>
      <c r="K89" s="7" t="str">
        <f>_xlfn.XLOOKUP(B89,Restaurants!$A$2:$A$21,Restaurants!$D$2:$D$21,"Unknown",0)</f>
        <v>QSR</v>
      </c>
      <c r="L89" s="19">
        <v>1</v>
      </c>
      <c r="M89" s="19" t="str">
        <f>IF(OR(F89&lt;'Stats Summary'!$B$17,F89&gt;'Stats Summary'!$B$18),"Yes","No")</f>
        <v>No</v>
      </c>
    </row>
    <row r="90" spans="1:13" x14ac:dyDescent="0.35">
      <c r="A90" s="7" t="s">
        <v>291</v>
      </c>
      <c r="B90" s="7" t="s">
        <v>162</v>
      </c>
      <c r="C90" s="7" t="s">
        <v>47</v>
      </c>
      <c r="D90" s="7" t="s">
        <v>161</v>
      </c>
      <c r="E90" s="18">
        <v>46268</v>
      </c>
      <c r="F90" s="19">
        <v>35</v>
      </c>
      <c r="G90" s="19">
        <v>4</v>
      </c>
      <c r="H90" s="20">
        <v>405</v>
      </c>
      <c r="I90" s="7" t="s">
        <v>44</v>
      </c>
      <c r="J90" s="7" t="str">
        <f>_xlfn.XLOOKUP(B90,Restaurants!$A$2:$A$21,Restaurants!$B$2:$B$21,"Unknown",0)</f>
        <v>Noodle Station</v>
      </c>
      <c r="K90" s="7" t="str">
        <f>_xlfn.XLOOKUP(B90,Restaurants!$A$2:$A$21,Restaurants!$D$2:$D$21,"Unknown",0)</f>
        <v>QSR</v>
      </c>
      <c r="L90" s="19">
        <v>1</v>
      </c>
      <c r="M90" s="19" t="str">
        <f>IF(OR(F90&lt;'Stats Summary'!$B$17,F90&gt;'Stats Summary'!$B$18),"Yes","No")</f>
        <v>No</v>
      </c>
    </row>
    <row r="91" spans="1:13" x14ac:dyDescent="0.35">
      <c r="A91" s="7" t="s">
        <v>292</v>
      </c>
      <c r="B91" s="7" t="s">
        <v>162</v>
      </c>
      <c r="C91" s="7" t="s">
        <v>47</v>
      </c>
      <c r="D91" s="7" t="s">
        <v>161</v>
      </c>
      <c r="E91" s="18">
        <v>46268</v>
      </c>
      <c r="F91" s="19">
        <v>112</v>
      </c>
      <c r="G91" s="19">
        <v>1</v>
      </c>
      <c r="H91" s="20">
        <v>510</v>
      </c>
      <c r="I91" s="7" t="s">
        <v>75</v>
      </c>
      <c r="J91" s="7" t="str">
        <f>_xlfn.XLOOKUP(B91,Restaurants!$A$2:$A$21,Restaurants!$B$2:$B$21,"Unknown",0)</f>
        <v>Noodle Station</v>
      </c>
      <c r="K91" s="7" t="str">
        <f>_xlfn.XLOOKUP(B91,Restaurants!$A$2:$A$21,Restaurants!$D$2:$D$21,"Unknown",0)</f>
        <v>QSR</v>
      </c>
      <c r="L91" s="19">
        <v>1</v>
      </c>
      <c r="M91" s="19" t="str">
        <f>IF(OR(F91&lt;'Stats Summary'!$B$17,F91&gt;'Stats Summary'!$B$18),"Yes","No")</f>
        <v>Yes</v>
      </c>
    </row>
    <row r="92" spans="1:13" x14ac:dyDescent="0.35">
      <c r="A92" s="7" t="s">
        <v>293</v>
      </c>
      <c r="B92" s="7" t="s">
        <v>127</v>
      </c>
      <c r="C92" s="7" t="s">
        <v>55</v>
      </c>
      <c r="D92" s="7" t="s">
        <v>122</v>
      </c>
      <c r="E92" s="18">
        <v>46270</v>
      </c>
      <c r="F92" s="19">
        <v>30</v>
      </c>
      <c r="G92" s="19">
        <v>4</v>
      </c>
      <c r="H92" s="20">
        <v>290</v>
      </c>
      <c r="I92" s="7" t="s">
        <v>44</v>
      </c>
      <c r="J92" s="7" t="str">
        <f>_xlfn.XLOOKUP(B92,Restaurants!$A$2:$A$21,Restaurants!$B$2:$B$21,"Unknown",0)</f>
        <v>Burger Barn</v>
      </c>
      <c r="K92" s="7" t="str">
        <f>_xlfn.XLOOKUP(B92,Restaurants!$A$2:$A$21,Restaurants!$D$2:$D$21,"Unknown",0)</f>
        <v>QSR</v>
      </c>
      <c r="L92" s="19">
        <v>1</v>
      </c>
      <c r="M92" s="19" t="str">
        <f>IF(OR(F92&lt;'Stats Summary'!$B$17,F92&gt;'Stats Summary'!$B$18),"Yes","No")</f>
        <v>No</v>
      </c>
    </row>
    <row r="93" spans="1:13" x14ac:dyDescent="0.35">
      <c r="A93" s="7" t="s">
        <v>294</v>
      </c>
      <c r="B93" s="7" t="s">
        <v>153</v>
      </c>
      <c r="C93" s="7" t="s">
        <v>47</v>
      </c>
      <c r="D93" s="7" t="s">
        <v>152</v>
      </c>
      <c r="E93" s="18">
        <v>46270</v>
      </c>
      <c r="F93" s="19">
        <v>37</v>
      </c>
      <c r="G93" s="19">
        <v>4</v>
      </c>
      <c r="H93" s="20">
        <v>330</v>
      </c>
      <c r="I93" s="7" t="s">
        <v>44</v>
      </c>
      <c r="J93" s="7" t="str">
        <f>_xlfn.XLOOKUP(B93,Restaurants!$A$2:$A$21,Restaurants!$B$2:$B$21,"Unknown",0)</f>
        <v>Chopstick Corner</v>
      </c>
      <c r="K93" s="7" t="str">
        <f>_xlfn.XLOOKUP(B93,Restaurants!$A$2:$A$21,Restaurants!$D$2:$D$21,"Unknown",0)</f>
        <v>Cloud Kitchen</v>
      </c>
      <c r="L93" s="19">
        <v>1</v>
      </c>
      <c r="M93" s="19" t="str">
        <f>IF(OR(F93&lt;'Stats Summary'!$B$17,F93&gt;'Stats Summary'!$B$18),"Yes","No")</f>
        <v>No</v>
      </c>
    </row>
    <row r="94" spans="1:13" x14ac:dyDescent="0.35">
      <c r="A94" s="7" t="s">
        <v>295</v>
      </c>
      <c r="B94" s="7" t="s">
        <v>162</v>
      </c>
      <c r="C94" s="7" t="s">
        <v>47</v>
      </c>
      <c r="D94" s="7" t="s">
        <v>161</v>
      </c>
      <c r="E94" s="18">
        <v>46271</v>
      </c>
      <c r="F94" s="19">
        <v>31</v>
      </c>
      <c r="G94" s="19">
        <v>5</v>
      </c>
      <c r="H94" s="20">
        <v>1130</v>
      </c>
      <c r="I94" s="7" t="s">
        <v>44</v>
      </c>
      <c r="J94" s="7" t="str">
        <f>_xlfn.XLOOKUP(B94,Restaurants!$A$2:$A$21,Restaurants!$B$2:$B$21,"Unknown",0)</f>
        <v>Noodle Station</v>
      </c>
      <c r="K94" s="7" t="str">
        <f>_xlfn.XLOOKUP(B94,Restaurants!$A$2:$A$21,Restaurants!$D$2:$D$21,"Unknown",0)</f>
        <v>QSR</v>
      </c>
      <c r="L94" s="19">
        <v>1</v>
      </c>
      <c r="M94" s="19" t="str">
        <f>IF(OR(F94&lt;'Stats Summary'!$B$17,F94&gt;'Stats Summary'!$B$18),"Yes","No")</f>
        <v>No</v>
      </c>
    </row>
    <row r="95" spans="1:13" x14ac:dyDescent="0.35">
      <c r="A95" s="7" t="s">
        <v>296</v>
      </c>
      <c r="B95" s="7" t="s">
        <v>127</v>
      </c>
      <c r="C95" s="7" t="s">
        <v>55</v>
      </c>
      <c r="D95" s="7" t="s">
        <v>122</v>
      </c>
      <c r="E95" s="18">
        <v>46272</v>
      </c>
      <c r="F95" s="19">
        <v>17</v>
      </c>
      <c r="G95" s="19">
        <v>5</v>
      </c>
      <c r="H95" s="20">
        <v>860</v>
      </c>
      <c r="I95" s="7" t="s">
        <v>44</v>
      </c>
      <c r="J95" s="7" t="str">
        <f>_xlfn.XLOOKUP(B95,Restaurants!$A$2:$A$21,Restaurants!$B$2:$B$21,"Unknown",0)</f>
        <v>Burger Barn</v>
      </c>
      <c r="K95" s="7" t="str">
        <f>_xlfn.XLOOKUP(B95,Restaurants!$A$2:$A$21,Restaurants!$D$2:$D$21,"Unknown",0)</f>
        <v>QSR</v>
      </c>
      <c r="L95" s="19">
        <v>1</v>
      </c>
      <c r="M95" s="19" t="str">
        <f>IF(OR(F95&lt;'Stats Summary'!$B$17,F95&gt;'Stats Summary'!$B$18),"Yes","No")</f>
        <v>No</v>
      </c>
    </row>
    <row r="96" spans="1:13" x14ac:dyDescent="0.35">
      <c r="A96" s="7" t="s">
        <v>297</v>
      </c>
      <c r="B96" s="7" t="s">
        <v>130</v>
      </c>
      <c r="C96" s="7" t="s">
        <v>50</v>
      </c>
      <c r="D96" s="7" t="s">
        <v>122</v>
      </c>
      <c r="E96" s="18">
        <v>46273</v>
      </c>
      <c r="F96" s="19">
        <v>19</v>
      </c>
      <c r="G96" s="19">
        <v>5</v>
      </c>
      <c r="H96" s="20">
        <v>425</v>
      </c>
      <c r="I96" s="7" t="s">
        <v>44</v>
      </c>
      <c r="J96" s="7" t="str">
        <f>_xlfn.XLOOKUP(B96,Restaurants!$A$2:$A$21,Restaurants!$B$2:$B$21,"Unknown",0)</f>
        <v>Dosa Dynasty</v>
      </c>
      <c r="K96" s="7" t="str">
        <f>_xlfn.XLOOKUP(B96,Restaurants!$A$2:$A$21,Restaurants!$D$2:$D$21,"Unknown",0)</f>
        <v>Dine-in</v>
      </c>
      <c r="L96" s="19">
        <v>1</v>
      </c>
      <c r="M96" s="19" t="str">
        <f>IF(OR(F96&lt;'Stats Summary'!$B$17,F96&gt;'Stats Summary'!$B$18),"Yes","No")</f>
        <v>No</v>
      </c>
    </row>
    <row r="97" spans="1:13" x14ac:dyDescent="0.35">
      <c r="A97" s="7" t="s">
        <v>298</v>
      </c>
      <c r="B97" s="7" t="s">
        <v>146</v>
      </c>
      <c r="C97" s="7" t="s">
        <v>50</v>
      </c>
      <c r="D97" s="7" t="s">
        <v>143</v>
      </c>
      <c r="E97" s="18">
        <v>46276</v>
      </c>
      <c r="F97" s="19">
        <v>36</v>
      </c>
      <c r="G97" s="19">
        <v>4</v>
      </c>
      <c r="H97" s="20">
        <v>825</v>
      </c>
      <c r="I97" s="7" t="s">
        <v>44</v>
      </c>
      <c r="J97" s="7" t="str">
        <f>_xlfn.XLOOKUP(B97,Restaurants!$A$2:$A$21,Restaurants!$B$2:$B$21,"Unknown",0)</f>
        <v>Idli Express</v>
      </c>
      <c r="K97" s="7" t="str">
        <f>_xlfn.XLOOKUP(B97,Restaurants!$A$2:$A$21,Restaurants!$D$2:$D$21,"Unknown",0)</f>
        <v>QSR</v>
      </c>
      <c r="L97" s="19">
        <v>1</v>
      </c>
      <c r="M97" s="19" t="str">
        <f>IF(OR(F97&lt;'Stats Summary'!$B$17,F97&gt;'Stats Summary'!$B$18),"Yes","No")</f>
        <v>No</v>
      </c>
    </row>
    <row r="98" spans="1:13" x14ac:dyDescent="0.35">
      <c r="A98" s="7" t="s">
        <v>299</v>
      </c>
      <c r="B98" s="7" t="s">
        <v>146</v>
      </c>
      <c r="C98" s="7" t="s">
        <v>50</v>
      </c>
      <c r="D98" s="7" t="s">
        <v>143</v>
      </c>
      <c r="E98" s="18">
        <v>46277</v>
      </c>
      <c r="F98" s="19">
        <v>38</v>
      </c>
      <c r="G98" s="19">
        <v>5</v>
      </c>
      <c r="H98" s="20">
        <v>275</v>
      </c>
      <c r="I98" s="7" t="s">
        <v>44</v>
      </c>
      <c r="J98" s="7" t="str">
        <f>_xlfn.XLOOKUP(B98,Restaurants!$A$2:$A$21,Restaurants!$B$2:$B$21,"Unknown",0)</f>
        <v>Idli Express</v>
      </c>
      <c r="K98" s="7" t="str">
        <f>_xlfn.XLOOKUP(B98,Restaurants!$A$2:$A$21,Restaurants!$D$2:$D$21,"Unknown",0)</f>
        <v>QSR</v>
      </c>
      <c r="L98" s="19">
        <v>1</v>
      </c>
      <c r="M98" s="19" t="str">
        <f>IF(OR(F98&lt;'Stats Summary'!$B$17,F98&gt;'Stats Summary'!$B$18),"Yes","No")</f>
        <v>No</v>
      </c>
    </row>
    <row r="99" spans="1:13" x14ac:dyDescent="0.35">
      <c r="A99" s="7" t="s">
        <v>300</v>
      </c>
      <c r="B99" s="7" t="s">
        <v>144</v>
      </c>
      <c r="C99" s="7" t="s">
        <v>47</v>
      </c>
      <c r="D99" s="7" t="s">
        <v>143</v>
      </c>
      <c r="E99" s="18">
        <v>46277</v>
      </c>
      <c r="F99" s="19">
        <v>41</v>
      </c>
      <c r="G99" s="19">
        <v>3</v>
      </c>
      <c r="H99" s="20">
        <v>695</v>
      </c>
      <c r="I99" s="7" t="s">
        <v>44</v>
      </c>
      <c r="J99" s="7" t="str">
        <f>_xlfn.XLOOKUP(B99,Restaurants!$A$2:$A$21,Restaurants!$B$2:$B$21,"Unknown",0)</f>
        <v>Dragon Bowl</v>
      </c>
      <c r="K99" s="7" t="str">
        <f>_xlfn.XLOOKUP(B99,Restaurants!$A$2:$A$21,Restaurants!$D$2:$D$21,"Unknown",0)</f>
        <v>Dine-in</v>
      </c>
      <c r="L99" s="19">
        <v>1</v>
      </c>
      <c r="M99" s="19" t="str">
        <f>IF(OR(F99&lt;'Stats Summary'!$B$17,F99&gt;'Stats Summary'!$B$18),"Yes","No")</f>
        <v>No</v>
      </c>
    </row>
    <row r="100" spans="1:13" x14ac:dyDescent="0.35">
      <c r="A100" s="7" t="s">
        <v>301</v>
      </c>
      <c r="B100" s="7" t="s">
        <v>162</v>
      </c>
      <c r="C100" s="7" t="s">
        <v>47</v>
      </c>
      <c r="D100" s="7" t="s">
        <v>161</v>
      </c>
      <c r="E100" s="18">
        <v>46277</v>
      </c>
      <c r="F100" s="19">
        <v>34</v>
      </c>
      <c r="G100" s="19">
        <v>4</v>
      </c>
      <c r="H100" s="20">
        <v>915</v>
      </c>
      <c r="I100" s="7" t="s">
        <v>44</v>
      </c>
      <c r="J100" s="7" t="str">
        <f>_xlfn.XLOOKUP(B100,Restaurants!$A$2:$A$21,Restaurants!$B$2:$B$21,"Unknown",0)</f>
        <v>Noodle Station</v>
      </c>
      <c r="K100" s="7" t="str">
        <f>_xlfn.XLOOKUP(B100,Restaurants!$A$2:$A$21,Restaurants!$D$2:$D$21,"Unknown",0)</f>
        <v>QSR</v>
      </c>
      <c r="L100" s="19">
        <v>1</v>
      </c>
      <c r="M100" s="19" t="str">
        <f>IF(OR(F100&lt;'Stats Summary'!$B$17,F100&gt;'Stats Summary'!$B$18),"Yes","No")</f>
        <v>No</v>
      </c>
    </row>
    <row r="101" spans="1:13" x14ac:dyDescent="0.35">
      <c r="A101" s="7" t="s">
        <v>302</v>
      </c>
      <c r="B101" s="7" t="s">
        <v>137</v>
      </c>
      <c r="C101" s="7" t="s">
        <v>43</v>
      </c>
      <c r="D101" s="7" t="s">
        <v>134</v>
      </c>
      <c r="E101" s="18">
        <v>46277</v>
      </c>
      <c r="F101" s="19">
        <v>30</v>
      </c>
      <c r="G101" s="19">
        <v>5</v>
      </c>
      <c r="H101" s="20">
        <v>225</v>
      </c>
      <c r="I101" s="7" t="s">
        <v>44</v>
      </c>
      <c r="J101" s="7" t="str">
        <f>_xlfn.XLOOKUP(B101,Restaurants!$A$2:$A$21,Restaurants!$B$2:$B$21,"Unknown",0)</f>
        <v>Punjabi Dhaba Express</v>
      </c>
      <c r="K101" s="7" t="str">
        <f>_xlfn.XLOOKUP(B101,Restaurants!$A$2:$A$21,Restaurants!$D$2:$D$21,"Unknown",0)</f>
        <v>QSR</v>
      </c>
      <c r="L101" s="19">
        <v>1</v>
      </c>
      <c r="M101" s="19" t="str">
        <f>IF(OR(F101&lt;'Stats Summary'!$B$17,F101&gt;'Stats Summary'!$B$18),"Yes","No")</f>
        <v>No</v>
      </c>
    </row>
    <row r="102" spans="1:13" x14ac:dyDescent="0.35">
      <c r="A102" s="7" t="s">
        <v>303</v>
      </c>
      <c r="B102" s="7" t="s">
        <v>157</v>
      </c>
      <c r="C102" s="7" t="s">
        <v>55</v>
      </c>
      <c r="D102" s="7" t="s">
        <v>152</v>
      </c>
      <c r="E102" s="18">
        <v>46277</v>
      </c>
      <c r="F102" s="19">
        <v>31</v>
      </c>
      <c r="G102" s="19">
        <v>4</v>
      </c>
      <c r="H102" s="20">
        <v>275</v>
      </c>
      <c r="I102" s="7" t="s">
        <v>44</v>
      </c>
      <c r="J102" s="7" t="str">
        <f>_xlfn.XLOOKUP(B102,Restaurants!$A$2:$A$21,Restaurants!$B$2:$B$21,"Unknown",0)</f>
        <v>Wrap &amp; Roll</v>
      </c>
      <c r="K102" s="7" t="str">
        <f>_xlfn.XLOOKUP(B102,Restaurants!$A$2:$A$21,Restaurants!$D$2:$D$21,"Unknown",0)</f>
        <v>QSR</v>
      </c>
      <c r="L102" s="19">
        <v>1</v>
      </c>
      <c r="M102" s="19" t="str">
        <f>IF(OR(F102&lt;'Stats Summary'!$B$17,F102&gt;'Stats Summary'!$B$18),"Yes","No")</f>
        <v>No</v>
      </c>
    </row>
    <row r="103" spans="1:13" x14ac:dyDescent="0.35">
      <c r="A103" s="7" t="s">
        <v>304</v>
      </c>
      <c r="B103" s="7" t="s">
        <v>164</v>
      </c>
      <c r="C103" s="7" t="s">
        <v>50</v>
      </c>
      <c r="D103" s="7" t="s">
        <v>161</v>
      </c>
      <c r="E103" s="18">
        <v>46279</v>
      </c>
      <c r="F103" s="19">
        <v>43</v>
      </c>
      <c r="G103" s="19">
        <v>3</v>
      </c>
      <c r="H103" s="20">
        <v>650</v>
      </c>
      <c r="I103" s="7" t="s">
        <v>44</v>
      </c>
      <c r="J103" s="7" t="str">
        <f>_xlfn.XLOOKUP(B103,Restaurants!$A$2:$A$21,Restaurants!$B$2:$B$21,"Unknown",0)</f>
        <v>Sambar Spot</v>
      </c>
      <c r="K103" s="7" t="str">
        <f>_xlfn.XLOOKUP(B103,Restaurants!$A$2:$A$21,Restaurants!$D$2:$D$21,"Unknown",0)</f>
        <v>Cloud Kitchen</v>
      </c>
      <c r="L103" s="19">
        <v>1</v>
      </c>
      <c r="M103" s="19" t="str">
        <f>IF(OR(F103&lt;'Stats Summary'!$B$17,F103&gt;'Stats Summary'!$B$18),"Yes","No")</f>
        <v>No</v>
      </c>
    </row>
    <row r="104" spans="1:13" x14ac:dyDescent="0.35">
      <c r="A104" s="7" t="s">
        <v>305</v>
      </c>
      <c r="B104" s="7" t="s">
        <v>146</v>
      </c>
      <c r="C104" s="7" t="s">
        <v>50</v>
      </c>
      <c r="D104" s="7" t="s">
        <v>143</v>
      </c>
      <c r="E104" s="18">
        <v>46280</v>
      </c>
      <c r="F104" s="19">
        <v>88</v>
      </c>
      <c r="G104" s="19">
        <v>2</v>
      </c>
      <c r="H104" s="20">
        <v>440</v>
      </c>
      <c r="I104" s="7" t="s">
        <v>75</v>
      </c>
      <c r="J104" s="7" t="str">
        <f>_xlfn.XLOOKUP(B104,Restaurants!$A$2:$A$21,Restaurants!$B$2:$B$21,"Unknown",0)</f>
        <v>Idli Express</v>
      </c>
      <c r="K104" s="7" t="str">
        <f>_xlfn.XLOOKUP(B104,Restaurants!$A$2:$A$21,Restaurants!$D$2:$D$21,"Unknown",0)</f>
        <v>QSR</v>
      </c>
      <c r="L104" s="19">
        <v>1</v>
      </c>
      <c r="M104" s="19" t="str">
        <f>IF(OR(F104&lt;'Stats Summary'!$B$17,F104&gt;'Stats Summary'!$B$18),"Yes","No")</f>
        <v>Yes</v>
      </c>
    </row>
    <row r="105" spans="1:13" x14ac:dyDescent="0.35">
      <c r="A105" s="7" t="s">
        <v>306</v>
      </c>
      <c r="B105" s="7" t="s">
        <v>141</v>
      </c>
      <c r="C105" s="7" t="s">
        <v>43</v>
      </c>
      <c r="D105" s="7" t="s">
        <v>143</v>
      </c>
      <c r="E105" s="18">
        <v>46280</v>
      </c>
      <c r="F105" s="19">
        <v>24</v>
      </c>
      <c r="G105" s="19">
        <v>5</v>
      </c>
      <c r="H105" s="20">
        <v>665</v>
      </c>
      <c r="I105" s="7" t="s">
        <v>44</v>
      </c>
      <c r="J105" s="7" t="str">
        <f>_xlfn.XLOOKUP(B105,Restaurants!$A$2:$A$21,Restaurants!$B$2:$B$21,"Unknown",0)</f>
        <v>Masala Mantra</v>
      </c>
      <c r="K105" s="7" t="str">
        <f>_xlfn.XLOOKUP(B105,Restaurants!$A$2:$A$21,Restaurants!$D$2:$D$21,"Unknown",0)</f>
        <v>Cloud Kitchen</v>
      </c>
      <c r="L105" s="19">
        <v>1</v>
      </c>
      <c r="M105" s="19" t="str">
        <f>IF(OR(F105&lt;'Stats Summary'!$B$17,F105&gt;'Stats Summary'!$B$18),"Yes","No")</f>
        <v>No</v>
      </c>
    </row>
    <row r="106" spans="1:13" x14ac:dyDescent="0.35">
      <c r="A106" s="7" t="s">
        <v>307</v>
      </c>
      <c r="B106" s="7" t="s">
        <v>164</v>
      </c>
      <c r="C106" s="7" t="s">
        <v>50</v>
      </c>
      <c r="D106" s="7" t="s">
        <v>161</v>
      </c>
      <c r="E106" s="18">
        <v>46282</v>
      </c>
      <c r="F106" s="19">
        <v>54</v>
      </c>
      <c r="G106" s="19">
        <v>4</v>
      </c>
      <c r="H106" s="20">
        <v>635</v>
      </c>
      <c r="I106" s="7" t="s">
        <v>75</v>
      </c>
      <c r="J106" s="7" t="str">
        <f>_xlfn.XLOOKUP(B106,Restaurants!$A$2:$A$21,Restaurants!$B$2:$B$21,"Unknown",0)</f>
        <v>Sambar Spot</v>
      </c>
      <c r="K106" s="7" t="str">
        <f>_xlfn.XLOOKUP(B106,Restaurants!$A$2:$A$21,Restaurants!$D$2:$D$21,"Unknown",0)</f>
        <v>Cloud Kitchen</v>
      </c>
      <c r="L106" s="19">
        <v>1</v>
      </c>
      <c r="M106" s="19" t="str">
        <f>IF(OR(F106&lt;'Stats Summary'!$B$17,F106&gt;'Stats Summary'!$B$18),"Yes","No")</f>
        <v>Yes</v>
      </c>
    </row>
    <row r="107" spans="1:13" x14ac:dyDescent="0.35">
      <c r="A107" s="7" t="s">
        <v>308</v>
      </c>
      <c r="B107" s="7" t="s">
        <v>127</v>
      </c>
      <c r="C107" s="7" t="s">
        <v>55</v>
      </c>
      <c r="D107" s="7" t="s">
        <v>122</v>
      </c>
      <c r="E107" s="18">
        <v>46282</v>
      </c>
      <c r="F107" s="19">
        <v>25</v>
      </c>
      <c r="G107" s="19">
        <v>5</v>
      </c>
      <c r="H107" s="20">
        <v>515</v>
      </c>
      <c r="I107" s="7" t="s">
        <v>44</v>
      </c>
      <c r="J107" s="7" t="str">
        <f>_xlfn.XLOOKUP(B107,Restaurants!$A$2:$A$21,Restaurants!$B$2:$B$21,"Unknown",0)</f>
        <v>Burger Barn</v>
      </c>
      <c r="K107" s="7" t="str">
        <f>_xlfn.XLOOKUP(B107,Restaurants!$A$2:$A$21,Restaurants!$D$2:$D$21,"Unknown",0)</f>
        <v>QSR</v>
      </c>
      <c r="L107" s="19">
        <v>1</v>
      </c>
      <c r="M107" s="19" t="str">
        <f>IF(OR(F107&lt;'Stats Summary'!$B$17,F107&gt;'Stats Summary'!$B$18),"Yes","No")</f>
        <v>No</v>
      </c>
    </row>
    <row r="108" spans="1:13" x14ac:dyDescent="0.35">
      <c r="A108" s="7" t="s">
        <v>309</v>
      </c>
      <c r="B108" s="7" t="s">
        <v>130</v>
      </c>
      <c r="C108" s="7" t="s">
        <v>50</v>
      </c>
      <c r="D108" s="7" t="s">
        <v>122</v>
      </c>
      <c r="E108" s="18">
        <v>46282</v>
      </c>
      <c r="F108" s="19">
        <v>32</v>
      </c>
      <c r="G108" s="19">
        <v>5</v>
      </c>
      <c r="H108" s="20">
        <v>360</v>
      </c>
      <c r="I108" s="7" t="s">
        <v>44</v>
      </c>
      <c r="J108" s="7" t="str">
        <f>_xlfn.XLOOKUP(B108,Restaurants!$A$2:$A$21,Restaurants!$B$2:$B$21,"Unknown",0)</f>
        <v>Dosa Dynasty</v>
      </c>
      <c r="K108" s="7" t="str">
        <f>_xlfn.XLOOKUP(B108,Restaurants!$A$2:$A$21,Restaurants!$D$2:$D$21,"Unknown",0)</f>
        <v>Dine-in</v>
      </c>
      <c r="L108" s="19">
        <v>1</v>
      </c>
      <c r="M108" s="19" t="str">
        <f>IF(OR(F108&lt;'Stats Summary'!$B$17,F108&gt;'Stats Summary'!$B$18),"Yes","No")</f>
        <v>No</v>
      </c>
    </row>
    <row r="109" spans="1:13" x14ac:dyDescent="0.35">
      <c r="A109" s="7" t="s">
        <v>310</v>
      </c>
      <c r="B109" s="7" t="s">
        <v>164</v>
      </c>
      <c r="C109" s="7" t="s">
        <v>50</v>
      </c>
      <c r="D109" s="7" t="s">
        <v>161</v>
      </c>
      <c r="E109" s="18">
        <v>46282</v>
      </c>
      <c r="F109" s="19">
        <v>36</v>
      </c>
      <c r="G109" s="19">
        <v>4</v>
      </c>
      <c r="H109" s="20">
        <v>235</v>
      </c>
      <c r="I109" s="7" t="s">
        <v>44</v>
      </c>
      <c r="J109" s="7" t="str">
        <f>_xlfn.XLOOKUP(B109,Restaurants!$A$2:$A$21,Restaurants!$B$2:$B$21,"Unknown",0)</f>
        <v>Sambar Spot</v>
      </c>
      <c r="K109" s="7" t="str">
        <f>_xlfn.XLOOKUP(B109,Restaurants!$A$2:$A$21,Restaurants!$D$2:$D$21,"Unknown",0)</f>
        <v>Cloud Kitchen</v>
      </c>
      <c r="L109" s="19">
        <v>1</v>
      </c>
      <c r="M109" s="19" t="str">
        <f>IF(OR(F109&lt;'Stats Summary'!$B$17,F109&gt;'Stats Summary'!$B$18),"Yes","No")</f>
        <v>No</v>
      </c>
    </row>
    <row r="110" spans="1:13" x14ac:dyDescent="0.35">
      <c r="A110" s="7" t="s">
        <v>311</v>
      </c>
      <c r="B110" s="7" t="s">
        <v>157</v>
      </c>
      <c r="C110" s="7" t="s">
        <v>55</v>
      </c>
      <c r="D110" s="7" t="s">
        <v>152</v>
      </c>
      <c r="E110" s="18">
        <v>46284</v>
      </c>
      <c r="F110" s="19">
        <v>40</v>
      </c>
      <c r="G110" s="19">
        <v>5</v>
      </c>
      <c r="H110" s="20">
        <v>895</v>
      </c>
      <c r="I110" s="7" t="s">
        <v>44</v>
      </c>
      <c r="J110" s="7" t="str">
        <f>_xlfn.XLOOKUP(B110,Restaurants!$A$2:$A$21,Restaurants!$B$2:$B$21,"Unknown",0)</f>
        <v>Wrap &amp; Roll</v>
      </c>
      <c r="K110" s="7" t="str">
        <f>_xlfn.XLOOKUP(B110,Restaurants!$A$2:$A$21,Restaurants!$D$2:$D$21,"Unknown",0)</f>
        <v>QSR</v>
      </c>
      <c r="L110" s="19">
        <v>1</v>
      </c>
      <c r="M110" s="19" t="str">
        <f>IF(OR(F110&lt;'Stats Summary'!$B$17,F110&gt;'Stats Summary'!$B$18),"Yes","No")</f>
        <v>No</v>
      </c>
    </row>
    <row r="111" spans="1:13" x14ac:dyDescent="0.35">
      <c r="A111" s="7" t="s">
        <v>312</v>
      </c>
      <c r="B111" s="7" t="s">
        <v>166</v>
      </c>
      <c r="C111" s="7" t="s">
        <v>55</v>
      </c>
      <c r="D111" s="7" t="s">
        <v>161</v>
      </c>
      <c r="E111" s="18">
        <v>46286</v>
      </c>
      <c r="F111" s="19">
        <v>37</v>
      </c>
      <c r="G111" s="19">
        <v>4</v>
      </c>
      <c r="H111" s="20">
        <v>510</v>
      </c>
      <c r="I111" s="7" t="s">
        <v>44</v>
      </c>
      <c r="J111" s="7" t="str">
        <f>_xlfn.XLOOKUP(B111,Restaurants!$A$2:$A$21,Restaurants!$B$2:$B$21,"Unknown",0)</f>
        <v>Fries &amp; Fizz</v>
      </c>
      <c r="K111" s="7" t="str">
        <f>_xlfn.XLOOKUP(B111,Restaurants!$A$2:$A$21,Restaurants!$D$2:$D$21,"Unknown",0)</f>
        <v>QSR</v>
      </c>
      <c r="L111" s="19">
        <v>1</v>
      </c>
      <c r="M111" s="19" t="str">
        <f>IF(OR(F111&lt;'Stats Summary'!$B$17,F111&gt;'Stats Summary'!$B$18),"Yes","No")</f>
        <v>No</v>
      </c>
    </row>
    <row r="112" spans="1:13" x14ac:dyDescent="0.35">
      <c r="A112" s="7" t="s">
        <v>313</v>
      </c>
      <c r="B112" s="7" t="s">
        <v>159</v>
      </c>
      <c r="C112" s="7" t="s">
        <v>43</v>
      </c>
      <c r="D112" s="7" t="s">
        <v>161</v>
      </c>
      <c r="E112" s="18">
        <v>46287</v>
      </c>
      <c r="F112" s="19">
        <v>33</v>
      </c>
      <c r="G112" s="19">
        <v>4</v>
      </c>
      <c r="H112" s="20">
        <v>495</v>
      </c>
      <c r="I112" s="7" t="s">
        <v>44</v>
      </c>
      <c r="J112" s="7" t="str">
        <f>_xlfn.XLOOKUP(B112,Restaurants!$A$2:$A$21,Restaurants!$B$2:$B$21,"Unknown",0)</f>
        <v>Kebab Kingdom</v>
      </c>
      <c r="K112" s="7" t="str">
        <f>_xlfn.XLOOKUP(B112,Restaurants!$A$2:$A$21,Restaurants!$D$2:$D$21,"Unknown",0)</f>
        <v>Cloud Kitchen</v>
      </c>
      <c r="L112" s="19">
        <v>1</v>
      </c>
      <c r="M112" s="19" t="str">
        <f>IF(OR(F112&lt;'Stats Summary'!$B$17,F112&gt;'Stats Summary'!$B$18),"Yes","No")</f>
        <v>No</v>
      </c>
    </row>
    <row r="113" spans="1:13" x14ac:dyDescent="0.35">
      <c r="A113" s="7" t="s">
        <v>314</v>
      </c>
      <c r="B113" s="7" t="s">
        <v>148</v>
      </c>
      <c r="C113" s="7" t="s">
        <v>55</v>
      </c>
      <c r="D113" s="7" t="s">
        <v>143</v>
      </c>
      <c r="E113" s="18">
        <v>46288</v>
      </c>
      <c r="F113" s="19">
        <v>29</v>
      </c>
      <c r="G113" s="19">
        <v>5</v>
      </c>
      <c r="H113" s="20">
        <v>1015</v>
      </c>
      <c r="I113" s="7" t="s">
        <v>44</v>
      </c>
      <c r="J113" s="7" t="str">
        <f>_xlfn.XLOOKUP(B113,Restaurants!$A$2:$A$21,Restaurants!$B$2:$B$21,"Unknown",0)</f>
        <v>Crispy Crunch</v>
      </c>
      <c r="K113" s="7" t="str">
        <f>_xlfn.XLOOKUP(B113,Restaurants!$A$2:$A$21,Restaurants!$D$2:$D$21,"Unknown",0)</f>
        <v>Cloud Kitchen</v>
      </c>
      <c r="L113" s="19">
        <v>1</v>
      </c>
      <c r="M113" s="19" t="str">
        <f>IF(OR(F113&lt;'Stats Summary'!$B$17,F113&gt;'Stats Summary'!$B$18),"Yes","No")</f>
        <v>No</v>
      </c>
    </row>
    <row r="114" spans="1:13" x14ac:dyDescent="0.35">
      <c r="A114" s="7" t="s">
        <v>315</v>
      </c>
      <c r="B114" s="7" t="s">
        <v>132</v>
      </c>
      <c r="C114" s="7" t="s">
        <v>50</v>
      </c>
      <c r="D114" s="7" t="s">
        <v>134</v>
      </c>
      <c r="E114" s="18">
        <v>46290</v>
      </c>
      <c r="F114" s="19">
        <v>33</v>
      </c>
      <c r="G114" s="19">
        <v>3</v>
      </c>
      <c r="H114" s="20">
        <v>225</v>
      </c>
      <c r="I114" s="7" t="s">
        <v>44</v>
      </c>
      <c r="J114" s="7" t="str">
        <f>_xlfn.XLOOKUP(B114,Restaurants!$A$2:$A$21,Restaurants!$B$2:$B$21,"Unknown",0)</f>
        <v>Curry Leaf Kitchen</v>
      </c>
      <c r="K114" s="7" t="str">
        <f>_xlfn.XLOOKUP(B114,Restaurants!$A$2:$A$21,Restaurants!$D$2:$D$21,"Unknown",0)</f>
        <v>Cloud Kitchen</v>
      </c>
      <c r="L114" s="19">
        <v>1</v>
      </c>
      <c r="M114" s="19" t="str">
        <f>IF(OR(F114&lt;'Stats Summary'!$B$17,F114&gt;'Stats Summary'!$B$18),"Yes","No")</f>
        <v>No</v>
      </c>
    </row>
    <row r="115" spans="1:13" x14ac:dyDescent="0.35">
      <c r="A115" s="7" t="s">
        <v>316</v>
      </c>
      <c r="B115" s="7" t="s">
        <v>157</v>
      </c>
      <c r="C115" s="7" t="s">
        <v>55</v>
      </c>
      <c r="D115" s="7" t="s">
        <v>152</v>
      </c>
      <c r="E115" s="18">
        <v>46290</v>
      </c>
      <c r="F115" s="19">
        <v>16</v>
      </c>
      <c r="G115" s="19">
        <v>5</v>
      </c>
      <c r="H115" s="20">
        <v>165</v>
      </c>
      <c r="I115" s="7" t="s">
        <v>44</v>
      </c>
      <c r="J115" s="7" t="str">
        <f>_xlfn.XLOOKUP(B115,Restaurants!$A$2:$A$21,Restaurants!$B$2:$B$21,"Unknown",0)</f>
        <v>Wrap &amp; Roll</v>
      </c>
      <c r="K115" s="7" t="str">
        <f>_xlfn.XLOOKUP(B115,Restaurants!$A$2:$A$21,Restaurants!$D$2:$D$21,"Unknown",0)</f>
        <v>QSR</v>
      </c>
      <c r="L115" s="19">
        <v>1</v>
      </c>
      <c r="M115" s="19" t="str">
        <f>IF(OR(F115&lt;'Stats Summary'!$B$17,F115&gt;'Stats Summary'!$B$18),"Yes","No")</f>
        <v>No</v>
      </c>
    </row>
    <row r="116" spans="1:13" x14ac:dyDescent="0.35">
      <c r="A116" s="7" t="s">
        <v>317</v>
      </c>
      <c r="B116" s="7" t="s">
        <v>150</v>
      </c>
      <c r="C116" s="7" t="s">
        <v>43</v>
      </c>
      <c r="D116" s="7" t="s">
        <v>152</v>
      </c>
      <c r="E116" s="18">
        <v>46291</v>
      </c>
      <c r="F116" s="19">
        <v>28</v>
      </c>
      <c r="G116" s="19">
        <v>4</v>
      </c>
      <c r="H116" s="20">
        <v>305</v>
      </c>
      <c r="I116" s="7" t="s">
        <v>44</v>
      </c>
      <c r="J116" s="7" t="str">
        <f>_xlfn.XLOOKUP(B116,Restaurants!$A$2:$A$21,Restaurants!$B$2:$B$21,"Unknown",0)</f>
        <v>Royal Biryani House</v>
      </c>
      <c r="K116" s="7" t="str">
        <f>_xlfn.XLOOKUP(B116,Restaurants!$A$2:$A$21,Restaurants!$D$2:$D$21,"Unknown",0)</f>
        <v>Dine-in</v>
      </c>
      <c r="L116" s="19">
        <v>1</v>
      </c>
      <c r="M116" s="19" t="str">
        <f>IF(OR(F116&lt;'Stats Summary'!$B$17,F116&gt;'Stats Summary'!$B$18),"Yes","No")</f>
        <v>No</v>
      </c>
    </row>
    <row r="117" spans="1:13" x14ac:dyDescent="0.35">
      <c r="A117" s="7" t="s">
        <v>318</v>
      </c>
      <c r="B117" s="7" t="s">
        <v>146</v>
      </c>
      <c r="C117" s="7" t="s">
        <v>50</v>
      </c>
      <c r="D117" s="7" t="s">
        <v>143</v>
      </c>
      <c r="E117" s="18">
        <v>46292</v>
      </c>
      <c r="F117" s="19">
        <v>35</v>
      </c>
      <c r="G117" s="19">
        <v>4</v>
      </c>
      <c r="H117" s="20">
        <v>180</v>
      </c>
      <c r="I117" s="7" t="s">
        <v>44</v>
      </c>
      <c r="J117" s="7" t="str">
        <f>_xlfn.XLOOKUP(B117,Restaurants!$A$2:$A$21,Restaurants!$B$2:$B$21,"Unknown",0)</f>
        <v>Idli Express</v>
      </c>
      <c r="K117" s="7" t="str">
        <f>_xlfn.XLOOKUP(B117,Restaurants!$A$2:$A$21,Restaurants!$D$2:$D$21,"Unknown",0)</f>
        <v>QSR</v>
      </c>
      <c r="L117" s="19">
        <v>1</v>
      </c>
      <c r="M117" s="19" t="str">
        <f>IF(OR(F117&lt;'Stats Summary'!$B$17,F117&gt;'Stats Summary'!$B$18),"Yes","No")</f>
        <v>No</v>
      </c>
    </row>
    <row r="118" spans="1:13" x14ac:dyDescent="0.35">
      <c r="A118" s="7" t="s">
        <v>319</v>
      </c>
      <c r="B118" s="7" t="s">
        <v>120</v>
      </c>
      <c r="C118" s="7" t="s">
        <v>43</v>
      </c>
      <c r="D118" s="7" t="s">
        <v>122</v>
      </c>
      <c r="E118" s="18">
        <v>46292</v>
      </c>
      <c r="F118" s="19">
        <v>51</v>
      </c>
      <c r="G118" s="19">
        <v>4</v>
      </c>
      <c r="H118" s="20">
        <v>530</v>
      </c>
      <c r="I118" s="7" t="s">
        <v>75</v>
      </c>
      <c r="J118" s="7" t="str">
        <f>_xlfn.XLOOKUP(B118,Restaurants!$A$2:$A$21,Restaurants!$B$2:$B$21,"Unknown",0)</f>
        <v>Tandoori Tales</v>
      </c>
      <c r="K118" s="7" t="str">
        <f>_xlfn.XLOOKUP(B118,Restaurants!$A$2:$A$21,Restaurants!$D$2:$D$21,"Unknown",0)</f>
        <v>Dine-in</v>
      </c>
      <c r="L118" s="19">
        <v>1</v>
      </c>
      <c r="M118" s="19" t="str">
        <f>IF(OR(F118&lt;'Stats Summary'!$B$17,F118&gt;'Stats Summary'!$B$18),"Yes","No")</f>
        <v>Yes</v>
      </c>
    </row>
    <row r="119" spans="1:13" x14ac:dyDescent="0.35">
      <c r="A119" s="7" t="s">
        <v>320</v>
      </c>
      <c r="B119" s="7" t="s">
        <v>164</v>
      </c>
      <c r="C119" s="7" t="s">
        <v>50</v>
      </c>
      <c r="D119" s="7" t="s">
        <v>161</v>
      </c>
      <c r="E119" s="18">
        <v>46292</v>
      </c>
      <c r="F119" s="19">
        <v>41</v>
      </c>
      <c r="G119" s="19">
        <v>4</v>
      </c>
      <c r="H119" s="20">
        <v>530</v>
      </c>
      <c r="I119" s="7" t="s">
        <v>44</v>
      </c>
      <c r="J119" s="7" t="str">
        <f>_xlfn.XLOOKUP(B119,Restaurants!$A$2:$A$21,Restaurants!$B$2:$B$21,"Unknown",0)</f>
        <v>Sambar Spot</v>
      </c>
      <c r="K119" s="7" t="str">
        <f>_xlfn.XLOOKUP(B119,Restaurants!$A$2:$A$21,Restaurants!$D$2:$D$21,"Unknown",0)</f>
        <v>Cloud Kitchen</v>
      </c>
      <c r="L119" s="19">
        <v>1</v>
      </c>
      <c r="M119" s="19" t="str">
        <f>IF(OR(F119&lt;'Stats Summary'!$B$17,F119&gt;'Stats Summary'!$B$18),"Yes","No")</f>
        <v>No</v>
      </c>
    </row>
    <row r="120" spans="1:13" x14ac:dyDescent="0.35">
      <c r="A120" s="7" t="s">
        <v>321</v>
      </c>
      <c r="B120" s="7" t="s">
        <v>148</v>
      </c>
      <c r="C120" s="7" t="s">
        <v>55</v>
      </c>
      <c r="D120" s="7" t="s">
        <v>143</v>
      </c>
      <c r="E120" s="18">
        <v>46293</v>
      </c>
      <c r="F120" s="19">
        <v>34</v>
      </c>
      <c r="G120" s="19">
        <v>4</v>
      </c>
      <c r="H120" s="20">
        <v>545</v>
      </c>
      <c r="I120" s="7" t="s">
        <v>44</v>
      </c>
      <c r="J120" s="7" t="str">
        <f>_xlfn.XLOOKUP(B120,Restaurants!$A$2:$A$21,Restaurants!$B$2:$B$21,"Unknown",0)</f>
        <v>Crispy Crunch</v>
      </c>
      <c r="K120" s="7" t="str">
        <f>_xlfn.XLOOKUP(B120,Restaurants!$A$2:$A$21,Restaurants!$D$2:$D$21,"Unknown",0)</f>
        <v>Cloud Kitchen</v>
      </c>
      <c r="L120" s="19">
        <v>1</v>
      </c>
      <c r="M120" s="19" t="str">
        <f>IF(OR(F120&lt;'Stats Summary'!$B$17,F120&gt;'Stats Summary'!$B$18),"Yes","No")</f>
        <v>No</v>
      </c>
    </row>
    <row r="121" spans="1:13" x14ac:dyDescent="0.35">
      <c r="A121" s="7" t="s">
        <v>322</v>
      </c>
      <c r="B121" s="7" t="s">
        <v>157</v>
      </c>
      <c r="C121" s="7" t="s">
        <v>55</v>
      </c>
      <c r="D121" s="7" t="s">
        <v>152</v>
      </c>
      <c r="E121" s="18">
        <v>46295</v>
      </c>
      <c r="F121" s="19">
        <v>28</v>
      </c>
      <c r="G121" s="19">
        <v>5</v>
      </c>
      <c r="H121" s="20">
        <v>360</v>
      </c>
      <c r="I121" s="7" t="s">
        <v>44</v>
      </c>
      <c r="J121" s="7" t="str">
        <f>_xlfn.XLOOKUP(B121,Restaurants!$A$2:$A$21,Restaurants!$B$2:$B$21,"Unknown",0)</f>
        <v>Wrap &amp; Roll</v>
      </c>
      <c r="K121" s="7" t="str">
        <f>_xlfn.XLOOKUP(B121,Restaurants!$A$2:$A$21,Restaurants!$D$2:$D$21,"Unknown",0)</f>
        <v>QSR</v>
      </c>
      <c r="L121" s="19">
        <v>1</v>
      </c>
      <c r="M121" s="19" t="str">
        <f>IF(OR(F121&lt;'Stats Summary'!$B$17,F121&gt;'Stats Summary'!$B$18),"Yes","No")</f>
        <v>No</v>
      </c>
    </row>
  </sheetData>
  <conditionalFormatting sqref="H2:H121">
    <cfRule type="top10" dxfId="3" priority="1" percent="1" rank="10"/>
  </conditionalFormatting>
  <conditionalFormatting sqref="M2:M121">
    <cfRule type="expression" dxfId="2" priority="2">
      <formula>M2="Yes"</formula>
    </cfRule>
  </conditionalFormatting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2"/>
  <sheetViews>
    <sheetView topLeftCell="A14" workbookViewId="0"/>
  </sheetViews>
  <sheetFormatPr defaultRowHeight="14.5" x14ac:dyDescent="0.35"/>
  <cols>
    <col min="1" max="1" width="30" customWidth="1"/>
    <col min="2" max="2" width="14" customWidth="1"/>
    <col min="3" max="3" width="34" customWidth="1"/>
  </cols>
  <sheetData>
    <row r="1" spans="1:3" ht="18" x14ac:dyDescent="0.4">
      <c r="A1" s="1" t="s">
        <v>323</v>
      </c>
      <c r="B1" s="2"/>
      <c r="C1" s="2"/>
    </row>
    <row r="2" spans="1:3" x14ac:dyDescent="0.35">
      <c r="A2" s="3" t="s">
        <v>324</v>
      </c>
      <c r="B2" s="2"/>
      <c r="C2" s="2"/>
    </row>
    <row r="3" spans="1:3" x14ac:dyDescent="0.35">
      <c r="A3" s="4" t="s">
        <v>325</v>
      </c>
      <c r="B3" s="4" t="s">
        <v>326</v>
      </c>
      <c r="C3" s="4" t="s">
        <v>327</v>
      </c>
    </row>
    <row r="4" spans="1:3" x14ac:dyDescent="0.35">
      <c r="A4" s="21" t="s">
        <v>328</v>
      </c>
      <c r="B4" s="22">
        <f>COUNT(tblOrders[DeliveryTime])</f>
        <v>120</v>
      </c>
      <c r="C4" s="23" t="s">
        <v>329</v>
      </c>
    </row>
    <row r="5" spans="1:3" x14ac:dyDescent="0.35">
      <c r="A5" s="21" t="s">
        <v>330</v>
      </c>
      <c r="B5" s="24">
        <f>AVERAGE(tblOrders[DeliveryTime])</f>
        <v>33.774999999999999</v>
      </c>
      <c r="C5" s="23" t="s">
        <v>331</v>
      </c>
    </row>
    <row r="6" spans="1:3" x14ac:dyDescent="0.35">
      <c r="A6" s="21" t="s">
        <v>332</v>
      </c>
      <c r="B6" s="24">
        <f>MEDIAN(tblOrders[DeliveryTime])</f>
        <v>31</v>
      </c>
      <c r="C6" s="23" t="s">
        <v>333</v>
      </c>
    </row>
    <row r="7" spans="1:3" x14ac:dyDescent="0.35">
      <c r="A7" s="21" t="s">
        <v>334</v>
      </c>
      <c r="B7" s="24">
        <f>_xlfn.MODE.SNGL(tblOrders[DeliveryTime])</f>
        <v>36</v>
      </c>
      <c r="C7" s="23" t="s">
        <v>335</v>
      </c>
    </row>
    <row r="8" spans="1:3" x14ac:dyDescent="0.35">
      <c r="A8" s="21" t="s">
        <v>336</v>
      </c>
      <c r="B8" s="24">
        <f>_xlfn.STDEV.S(tblOrders[DeliveryTime])</f>
        <v>14.017073922346908</v>
      </c>
      <c r="C8" s="23" t="s">
        <v>337</v>
      </c>
    </row>
    <row r="9" spans="1:3" x14ac:dyDescent="0.35">
      <c r="A9" s="21" t="s">
        <v>338</v>
      </c>
      <c r="B9" s="24">
        <f>_xlfn.VAR.S(tblOrders[DeliveryTime])</f>
        <v>196.47836134453772</v>
      </c>
      <c r="C9" s="23" t="s">
        <v>339</v>
      </c>
    </row>
    <row r="10" spans="1:3" x14ac:dyDescent="0.35">
      <c r="A10" s="21" t="s">
        <v>340</v>
      </c>
      <c r="B10" s="24">
        <f>MIN(tblOrders[DeliveryTime])</f>
        <v>14</v>
      </c>
      <c r="C10" s="23" t="s">
        <v>341</v>
      </c>
    </row>
    <row r="11" spans="1:3" x14ac:dyDescent="0.35">
      <c r="A11" s="21" t="s">
        <v>342</v>
      </c>
      <c r="B11" s="24">
        <f>MAX(tblOrders[DeliveryTime])</f>
        <v>112</v>
      </c>
      <c r="C11" s="23" t="s">
        <v>343</v>
      </c>
    </row>
    <row r="12" spans="1:3" x14ac:dyDescent="0.35">
      <c r="A12" s="21" t="s">
        <v>344</v>
      </c>
      <c r="B12" s="24">
        <f>_xlfn.QUARTILE.INC(tblOrders[DeliveryTime],1)</f>
        <v>27</v>
      </c>
      <c r="C12" s="23" t="s">
        <v>345</v>
      </c>
    </row>
    <row r="13" spans="1:3" x14ac:dyDescent="0.35">
      <c r="A13" s="21" t="s">
        <v>346</v>
      </c>
      <c r="B13" s="24">
        <f>_xlfn.QUARTILE.INC(tblOrders[DeliveryTime],3)</f>
        <v>36</v>
      </c>
      <c r="C13" s="23" t="s">
        <v>347</v>
      </c>
    </row>
    <row r="14" spans="1:3" x14ac:dyDescent="0.35">
      <c r="A14" s="2"/>
      <c r="B14" s="2"/>
      <c r="C14" s="2"/>
    </row>
    <row r="15" spans="1:3" x14ac:dyDescent="0.35">
      <c r="A15" s="6" t="s">
        <v>348</v>
      </c>
      <c r="B15" s="2"/>
      <c r="C15" s="2"/>
    </row>
    <row r="16" spans="1:3" x14ac:dyDescent="0.35">
      <c r="A16" s="21" t="s">
        <v>349</v>
      </c>
      <c r="B16" s="24">
        <f>B13-B12</f>
        <v>9</v>
      </c>
      <c r="C16" s="23" t="s">
        <v>350</v>
      </c>
    </row>
    <row r="17" spans="1:3" x14ac:dyDescent="0.35">
      <c r="A17" s="21" t="s">
        <v>351</v>
      </c>
      <c r="B17" s="24">
        <f>B12-1.5*B16</f>
        <v>13.5</v>
      </c>
      <c r="C17" s="23" t="s">
        <v>352</v>
      </c>
    </row>
    <row r="18" spans="1:3" x14ac:dyDescent="0.35">
      <c r="A18" s="21" t="s">
        <v>353</v>
      </c>
      <c r="B18" s="24">
        <f>B13+1.5*B16</f>
        <v>49.5</v>
      </c>
      <c r="C18" s="23" t="s">
        <v>354</v>
      </c>
    </row>
    <row r="19" spans="1:3" x14ac:dyDescent="0.35">
      <c r="A19" s="21" t="s">
        <v>355</v>
      </c>
      <c r="B19" s="22">
        <f>COUNTIF(tblOrders[Outlier Flag],"Yes")</f>
        <v>9</v>
      </c>
      <c r="C19" s="23" t="s">
        <v>356</v>
      </c>
    </row>
    <row r="20" spans="1:3" x14ac:dyDescent="0.35">
      <c r="A20" s="21" t="s">
        <v>357</v>
      </c>
      <c r="B20" s="25">
        <f>B19/B4</f>
        <v>7.4999999999999997E-2</v>
      </c>
      <c r="C20" s="23" t="s">
        <v>358</v>
      </c>
    </row>
    <row r="21" spans="1:3" x14ac:dyDescent="0.35">
      <c r="A21" s="2"/>
      <c r="B21" s="2"/>
      <c r="C21" s="2"/>
    </row>
    <row r="22" spans="1:3" x14ac:dyDescent="0.35">
      <c r="A22" s="3" t="s">
        <v>359</v>
      </c>
      <c r="B22" s="2"/>
      <c r="C22" s="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"/>
  <sheetViews>
    <sheetView workbookViewId="0"/>
  </sheetViews>
  <sheetFormatPr defaultRowHeight="14.5" x14ac:dyDescent="0.35"/>
  <cols>
    <col min="1" max="1" width="32" customWidth="1"/>
    <col min="2" max="2" width="9" customWidth="1"/>
    <col min="3" max="5" width="16" customWidth="1"/>
    <col min="6" max="8" width="15" customWidth="1"/>
    <col min="9" max="9" width="24" customWidth="1"/>
  </cols>
  <sheetData>
    <row r="1" spans="1:9" ht="18" x14ac:dyDescent="0.4">
      <c r="A1" s="1" t="s">
        <v>360</v>
      </c>
      <c r="B1" s="2"/>
      <c r="C1" s="2"/>
      <c r="D1" s="2"/>
      <c r="E1" s="2"/>
      <c r="F1" s="2"/>
      <c r="G1" s="2"/>
      <c r="H1" s="2"/>
      <c r="I1" s="2"/>
    </row>
    <row r="2" spans="1:9" x14ac:dyDescent="0.35">
      <c r="A2" s="3" t="s">
        <v>361</v>
      </c>
      <c r="B2" s="2"/>
      <c r="C2" s="2"/>
      <c r="D2" s="2"/>
      <c r="E2" s="2"/>
      <c r="F2" s="2"/>
      <c r="G2" s="2"/>
      <c r="H2" s="2"/>
      <c r="I2" s="2"/>
    </row>
    <row r="3" spans="1:9" x14ac:dyDescent="0.35">
      <c r="A3" s="2"/>
      <c r="B3" s="2"/>
      <c r="C3" s="2"/>
      <c r="D3" s="2"/>
      <c r="E3" s="2"/>
      <c r="F3" s="2"/>
      <c r="G3" s="2"/>
      <c r="H3" s="2"/>
      <c r="I3" s="2"/>
    </row>
    <row r="4" spans="1:9" ht="42" customHeight="1" x14ac:dyDescent="0.35">
      <c r="A4" s="4" t="s">
        <v>117</v>
      </c>
      <c r="B4" s="4" t="s">
        <v>199</v>
      </c>
      <c r="C4" s="4" t="s">
        <v>362</v>
      </c>
      <c r="D4" s="4" t="s">
        <v>363</v>
      </c>
      <c r="E4" s="4" t="s">
        <v>364</v>
      </c>
      <c r="F4" s="4" t="s">
        <v>365</v>
      </c>
      <c r="G4" s="4" t="s">
        <v>366</v>
      </c>
      <c r="H4" s="4" t="s">
        <v>367</v>
      </c>
      <c r="I4" s="4" t="s">
        <v>368</v>
      </c>
    </row>
    <row r="5" spans="1:9" x14ac:dyDescent="0.35">
      <c r="A5" s="8" t="s">
        <v>122</v>
      </c>
      <c r="B5" s="8">
        <f>COUNTIF(tblOrders[Zone],A5)</f>
        <v>24</v>
      </c>
      <c r="C5" s="26">
        <f>AVERAGEIF(tblOrders[Zone],A5,tblOrders[DeliveryTime])</f>
        <v>30.791666666666668</v>
      </c>
      <c r="D5" s="26">
        <f t="array" ref="D5">MEDIAN(IF(tblOrders[Zone]=A5,tblOrders[DeliveryTime]))</f>
        <v>29</v>
      </c>
      <c r="E5" s="26">
        <f t="array" ref="E5">_xlfn.STDEV.S(IF(tblOrders[Zone]=A5,tblOrders[DeliveryTime]))</f>
        <v>9.3482347399722006</v>
      </c>
      <c r="F5" s="26">
        <f>AVERAGEIF(tblOrders[Zone],A5,tblOrders[Revenue])</f>
        <v>485.41666666666669</v>
      </c>
      <c r="G5" s="26">
        <f t="array" ref="G5">MEDIAN(IF(tblOrders[Zone]=A5,tblOrders[Revenue]))</f>
        <v>487.5</v>
      </c>
      <c r="H5" s="26">
        <f t="array" ref="H5">_xlfn.STDEV.S(IF(tblOrders[Zone]=A5,tblOrders[Revenue]))</f>
        <v>222.91018208095005</v>
      </c>
      <c r="I5" s="8" t="str">
        <f>IF(C5&gt;$D$11,"Above overall median","Not above")</f>
        <v>Not above</v>
      </c>
    </row>
    <row r="6" spans="1:9" x14ac:dyDescent="0.35">
      <c r="A6" s="8" t="s">
        <v>134</v>
      </c>
      <c r="B6" s="8">
        <f>COUNTIF(tblOrders[Zone],A6)</f>
        <v>22</v>
      </c>
      <c r="C6" s="26">
        <f>AVERAGEIF(tblOrders[Zone],A6,tblOrders[DeliveryTime])</f>
        <v>30.772727272727273</v>
      </c>
      <c r="D6" s="26">
        <f t="array" ref="D6">MEDIAN(IF(tblOrders[Zone]=A6,tblOrders[DeliveryTime]))</f>
        <v>28.5</v>
      </c>
      <c r="E6" s="26">
        <f t="array" ref="E6">_xlfn.STDEV.S(IF(tblOrders[Zone]=A6,tblOrders[DeliveryTime]))</f>
        <v>10.945457062317237</v>
      </c>
      <c r="F6" s="26">
        <f>AVERAGEIF(tblOrders[Zone],A6,tblOrders[Revenue])</f>
        <v>448.63636363636363</v>
      </c>
      <c r="G6" s="26">
        <f t="array" ref="G6">MEDIAN(IF(tblOrders[Zone]=A6,tblOrders[Revenue]))</f>
        <v>405</v>
      </c>
      <c r="H6" s="26">
        <f t="array" ref="H6">_xlfn.STDEV.S(IF(tblOrders[Zone]=A6,tblOrders[Revenue]))</f>
        <v>182.60145137235367</v>
      </c>
      <c r="I6" s="8" t="str">
        <f>IF(C6&gt;$D$11,"Above overall median","Not above")</f>
        <v>Not above</v>
      </c>
    </row>
    <row r="7" spans="1:9" x14ac:dyDescent="0.35">
      <c r="A7" s="8" t="s">
        <v>143</v>
      </c>
      <c r="B7" s="8">
        <f>COUNTIF(tblOrders[Zone],A7)</f>
        <v>27</v>
      </c>
      <c r="C7" s="26">
        <f>AVERAGEIF(tblOrders[Zone],A7,tblOrders[DeliveryTime])</f>
        <v>40.037037037037038</v>
      </c>
      <c r="D7" s="26">
        <f t="array" ref="D7">MEDIAN(IF(tblOrders[Zone]=A7,tblOrders[DeliveryTime]))</f>
        <v>36</v>
      </c>
      <c r="E7" s="26">
        <f t="array" ref="E7">_xlfn.STDEV.S(IF(tblOrders[Zone]=A7,tblOrders[DeliveryTime]))</f>
        <v>17.376999567247331</v>
      </c>
      <c r="F7" s="26">
        <f>AVERAGEIF(tblOrders[Zone],A7,tblOrders[Revenue])</f>
        <v>505.37037037037038</v>
      </c>
      <c r="G7" s="26">
        <f t="array" ref="G7">MEDIAN(IF(tblOrders[Zone]=A7,tblOrders[Revenue]))</f>
        <v>440</v>
      </c>
      <c r="H7" s="26">
        <f t="array" ref="H7">_xlfn.STDEV.S(IF(tblOrders[Zone]=A7,tblOrders[Revenue]))</f>
        <v>250.54527429774942</v>
      </c>
      <c r="I7" s="8" t="str">
        <f>IF(C7&gt;$D$11,"Above overall median","Not above")</f>
        <v>Above overall median</v>
      </c>
    </row>
    <row r="8" spans="1:9" x14ac:dyDescent="0.35">
      <c r="A8" s="8" t="s">
        <v>152</v>
      </c>
      <c r="B8" s="8">
        <f>COUNTIF(tblOrders[Zone],A8)</f>
        <v>24</v>
      </c>
      <c r="C8" s="26">
        <f>AVERAGEIF(tblOrders[Zone],A8,tblOrders[DeliveryTime])</f>
        <v>26.791666666666668</v>
      </c>
      <c r="D8" s="26">
        <f t="array" ref="D8">MEDIAN(IF(tblOrders[Zone]=A8,tblOrders[DeliveryTime]))</f>
        <v>28</v>
      </c>
      <c r="E8" s="26">
        <f t="array" ref="E8">_xlfn.STDEV.S(IF(tblOrders[Zone]=A8,tblOrders[DeliveryTime]))</f>
        <v>7.0954925475793127</v>
      </c>
      <c r="F8" s="26">
        <f>AVERAGEIF(tblOrders[Zone],A8,tblOrders[Revenue])</f>
        <v>537.70833333333337</v>
      </c>
      <c r="G8" s="26">
        <f t="array" ref="G8">MEDIAN(IF(tblOrders[Zone]=A8,tblOrders[Revenue]))</f>
        <v>502.5</v>
      </c>
      <c r="H8" s="26">
        <f t="array" ref="H8">_xlfn.STDEV.S(IF(tblOrders[Zone]=A8,tblOrders[Revenue]))</f>
        <v>295.23012088091946</v>
      </c>
      <c r="I8" s="8" t="str">
        <f>IF(C8&gt;$D$11,"Above overall median","Not above")</f>
        <v>Not above</v>
      </c>
    </row>
    <row r="9" spans="1:9" x14ac:dyDescent="0.35">
      <c r="A9" s="8" t="s">
        <v>161</v>
      </c>
      <c r="B9" s="8">
        <f>COUNTIF(tblOrders[Zone],A9)</f>
        <v>23</v>
      </c>
      <c r="C9" s="26">
        <f>AVERAGEIF(tblOrders[Zone],A9,tblOrders[DeliveryTime])</f>
        <v>39.695652173913047</v>
      </c>
      <c r="D9" s="26">
        <f t="array" ref="D9">MEDIAN(IF(tblOrders[Zone]=A9,tblOrders[DeliveryTime]))</f>
        <v>36</v>
      </c>
      <c r="E9" s="26">
        <f t="array" ref="E9">_xlfn.STDEV.S(IF(tblOrders[Zone]=A9,tblOrders[DeliveryTime]))</f>
        <v>17.054550932518904</v>
      </c>
      <c r="F9" s="26">
        <f>AVERAGEIF(tblOrders[Zone],A9,tblOrders[Revenue])</f>
        <v>575.86956521739125</v>
      </c>
      <c r="G9" s="26">
        <f t="array" ref="G9">MEDIAN(IF(tblOrders[Zone]=A9,tblOrders[Revenue]))</f>
        <v>495</v>
      </c>
      <c r="H9" s="26">
        <f t="array" ref="H9">_xlfn.STDEV.S(IF(tblOrders[Zone]=A9,tblOrders[Revenue]))</f>
        <v>355.47232398954725</v>
      </c>
      <c r="I9" s="8" t="str">
        <f>IF(C9&gt;$D$11,"Above overall median","Not above")</f>
        <v>Above overall median</v>
      </c>
    </row>
    <row r="10" spans="1:9" x14ac:dyDescent="0.35">
      <c r="A10" s="16" t="s">
        <v>369</v>
      </c>
      <c r="B10" s="16">
        <f>COUNTA(tblOrders[Zone])</f>
        <v>120</v>
      </c>
      <c r="C10" s="27">
        <f>AVERAGE(tblOrders[DeliveryTime])</f>
        <v>33.774999999999999</v>
      </c>
      <c r="D10" s="27">
        <f>MEDIAN(tblOrders[DeliveryTime])</f>
        <v>31</v>
      </c>
      <c r="E10" s="27">
        <f>_xlfn.STDEV.S(tblOrders[DeliveryTime])</f>
        <v>14.017073922346908</v>
      </c>
      <c r="F10" s="27">
        <f>AVERAGE(tblOrders[Revenue])</f>
        <v>510.95833333333331</v>
      </c>
      <c r="G10" s="27">
        <f>MEDIAN(tblOrders[Revenue])</f>
        <v>472.5</v>
      </c>
      <c r="H10" s="27">
        <f>_xlfn.STDEV.S(tblOrders[Revenue])</f>
        <v>266.88074936898971</v>
      </c>
      <c r="I10" s="16"/>
    </row>
    <row r="11" spans="1:9" x14ac:dyDescent="0.35">
      <c r="A11" s="12" t="s">
        <v>370</v>
      </c>
      <c r="B11" s="2"/>
      <c r="C11" s="2"/>
      <c r="D11" s="28">
        <f>MEDIAN(tblOrders[DeliveryTime])</f>
        <v>31</v>
      </c>
      <c r="E11" s="2"/>
      <c r="F11" s="2"/>
      <c r="G11" s="2"/>
      <c r="H11" s="2"/>
      <c r="I11" s="2"/>
    </row>
    <row r="12" spans="1:9" x14ac:dyDescent="0.3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5">
      <c r="A13" s="3" t="s">
        <v>371</v>
      </c>
      <c r="B13" s="2"/>
      <c r="C13" s="2"/>
      <c r="D13" s="2"/>
      <c r="E13" s="2"/>
      <c r="F13" s="2"/>
      <c r="G13" s="2"/>
      <c r="H13" s="2"/>
      <c r="I13" s="2"/>
    </row>
  </sheetData>
  <conditionalFormatting sqref="I5:I9">
    <cfRule type="expression" dxfId="1" priority="1">
      <formula>LEFT(I5,5)="Above"</formula>
    </cfRule>
    <cfRule type="expression" dxfId="0" priority="2">
      <formula>LEFT(I5,3)="Not"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5"/>
  <sheetViews>
    <sheetView topLeftCell="A9" workbookViewId="0"/>
  </sheetViews>
  <sheetFormatPr defaultRowHeight="14.5" x14ac:dyDescent="0.35"/>
  <cols>
    <col min="1" max="1" width="20" customWidth="1"/>
    <col min="2" max="6" width="12" customWidth="1"/>
    <col min="7" max="7" width="14" customWidth="1"/>
  </cols>
  <sheetData>
    <row r="1" spans="1:7" ht="18" x14ac:dyDescent="0.4">
      <c r="A1" s="1" t="s">
        <v>372</v>
      </c>
      <c r="B1" s="2"/>
      <c r="C1" s="2"/>
      <c r="D1" s="2"/>
      <c r="E1" s="2"/>
      <c r="F1" s="2"/>
      <c r="G1" s="2"/>
    </row>
    <row r="2" spans="1:7" x14ac:dyDescent="0.35">
      <c r="A2" s="3" t="s">
        <v>373</v>
      </c>
      <c r="B2" s="2"/>
      <c r="C2" s="2"/>
      <c r="D2" s="2"/>
      <c r="E2" s="2"/>
      <c r="F2" s="2"/>
      <c r="G2" s="2"/>
    </row>
    <row r="3" spans="1:7" x14ac:dyDescent="0.35">
      <c r="A3" s="2"/>
      <c r="B3" s="2"/>
      <c r="C3" s="2"/>
      <c r="D3" s="2"/>
      <c r="E3" s="2"/>
      <c r="F3" s="2"/>
      <c r="G3" s="2"/>
    </row>
    <row r="4" spans="1:7" x14ac:dyDescent="0.35">
      <c r="A4" s="6" t="s">
        <v>374</v>
      </c>
      <c r="B4" s="2"/>
      <c r="C4" s="2"/>
      <c r="D4" s="2"/>
      <c r="E4" s="2"/>
      <c r="F4" s="2"/>
      <c r="G4" s="2"/>
    </row>
    <row r="5" spans="1:7" x14ac:dyDescent="0.35">
      <c r="A5" s="4" t="s">
        <v>35</v>
      </c>
      <c r="B5" s="4" t="s">
        <v>122</v>
      </c>
      <c r="C5" s="4" t="s">
        <v>134</v>
      </c>
      <c r="D5" s="4" t="s">
        <v>143</v>
      </c>
      <c r="E5" s="4" t="s">
        <v>152</v>
      </c>
      <c r="F5" s="4" t="s">
        <v>161</v>
      </c>
      <c r="G5" s="4" t="s">
        <v>375</v>
      </c>
    </row>
    <row r="6" spans="1:7" x14ac:dyDescent="0.35">
      <c r="A6" s="16" t="s">
        <v>43</v>
      </c>
      <c r="B6" s="11">
        <f>SUMIFS(tblOrders[Revenue],tblOrders[Cuisine],$A6,tblOrders[Zone],B$5)</f>
        <v>2420</v>
      </c>
      <c r="C6" s="11">
        <f>SUMIFS(tblOrders[Revenue],tblOrders[Cuisine],$A6,tblOrders[Zone],C$5)</f>
        <v>1915</v>
      </c>
      <c r="D6" s="11">
        <f>SUMIFS(tblOrders[Revenue],tblOrders[Cuisine],$A6,tblOrders[Zone],D$5)</f>
        <v>2960</v>
      </c>
      <c r="E6" s="11">
        <f>SUMIFS(tblOrders[Revenue],tblOrders[Cuisine],$A6,tblOrders[Zone],E$5)</f>
        <v>2600</v>
      </c>
      <c r="F6" s="11">
        <f>SUMIFS(tblOrders[Revenue],tblOrders[Cuisine],$A6,tblOrders[Zone],F$5)</f>
        <v>2710</v>
      </c>
      <c r="G6" s="11">
        <f>SUM(B6:F6)</f>
        <v>12605</v>
      </c>
    </row>
    <row r="7" spans="1:7" x14ac:dyDescent="0.35">
      <c r="A7" s="16" t="s">
        <v>47</v>
      </c>
      <c r="B7" s="11">
        <f>SUMIFS(tblOrders[Revenue],tblOrders[Cuisine],$A7,tblOrders[Zone],B$5)</f>
        <v>2035</v>
      </c>
      <c r="C7" s="11">
        <f>SUMIFS(tblOrders[Revenue],tblOrders[Cuisine],$A7,tblOrders[Zone],C$5)</f>
        <v>3260</v>
      </c>
      <c r="D7" s="11">
        <f>SUMIFS(tblOrders[Revenue],tblOrders[Cuisine],$A7,tblOrders[Zone],D$5)</f>
        <v>4275</v>
      </c>
      <c r="E7" s="11">
        <f>SUMIFS(tblOrders[Revenue],tblOrders[Cuisine],$A7,tblOrders[Zone],E$5)</f>
        <v>2265</v>
      </c>
      <c r="F7" s="11">
        <f>SUMIFS(tblOrders[Revenue],tblOrders[Cuisine],$A7,tblOrders[Zone],F$5)</f>
        <v>3345</v>
      </c>
      <c r="G7" s="11">
        <f>SUM(B7:F7)</f>
        <v>15180</v>
      </c>
    </row>
    <row r="8" spans="1:7" x14ac:dyDescent="0.35">
      <c r="A8" s="16" t="s">
        <v>50</v>
      </c>
      <c r="B8" s="11">
        <f>SUMIFS(tblOrders[Revenue],tblOrders[Cuisine],$A8,tblOrders[Zone],B$5)</f>
        <v>1340</v>
      </c>
      <c r="C8" s="11">
        <f>SUMIFS(tblOrders[Revenue],tblOrders[Cuisine],$A8,tblOrders[Zone],C$5)</f>
        <v>1215</v>
      </c>
      <c r="D8" s="11">
        <f>SUMIFS(tblOrders[Revenue],tblOrders[Cuisine],$A8,tblOrders[Zone],D$5)</f>
        <v>3860</v>
      </c>
      <c r="E8" s="11">
        <f>SUMIFS(tblOrders[Revenue],tblOrders[Cuisine],$A8,tblOrders[Zone],E$5)</f>
        <v>3255</v>
      </c>
      <c r="F8" s="11">
        <f>SUMIFS(tblOrders[Revenue],tblOrders[Cuisine],$A8,tblOrders[Zone],F$5)</f>
        <v>4055</v>
      </c>
      <c r="G8" s="11">
        <f>SUM(B8:F8)</f>
        <v>13725</v>
      </c>
    </row>
    <row r="9" spans="1:7" x14ac:dyDescent="0.35">
      <c r="A9" s="16" t="s">
        <v>55</v>
      </c>
      <c r="B9" s="11">
        <f>SUMIFS(tblOrders[Revenue],tblOrders[Cuisine],$A9,tblOrders[Zone],B$5)</f>
        <v>5855</v>
      </c>
      <c r="C9" s="11">
        <f>SUMIFS(tblOrders[Revenue],tblOrders[Cuisine],$A9,tblOrders[Zone],C$5)</f>
        <v>3480</v>
      </c>
      <c r="D9" s="11">
        <f>SUMIFS(tblOrders[Revenue],tblOrders[Cuisine],$A9,tblOrders[Zone],D$5)</f>
        <v>2550</v>
      </c>
      <c r="E9" s="11">
        <f>SUMIFS(tblOrders[Revenue],tblOrders[Cuisine],$A9,tblOrders[Zone],E$5)</f>
        <v>4785</v>
      </c>
      <c r="F9" s="11">
        <f>SUMIFS(tblOrders[Revenue],tblOrders[Cuisine],$A9,tblOrders[Zone],F$5)</f>
        <v>3135</v>
      </c>
      <c r="G9" s="11">
        <f>SUM(B9:F9)</f>
        <v>19805</v>
      </c>
    </row>
    <row r="10" spans="1:7" x14ac:dyDescent="0.35">
      <c r="A10" s="29" t="s">
        <v>375</v>
      </c>
      <c r="B10" s="30">
        <f t="shared" ref="B10:G10" si="0">SUM(B6:B9)</f>
        <v>11650</v>
      </c>
      <c r="C10" s="30">
        <f t="shared" si="0"/>
        <v>9870</v>
      </c>
      <c r="D10" s="30">
        <f t="shared" si="0"/>
        <v>13645</v>
      </c>
      <c r="E10" s="30">
        <f t="shared" si="0"/>
        <v>12905</v>
      </c>
      <c r="F10" s="30">
        <f t="shared" si="0"/>
        <v>13245</v>
      </c>
      <c r="G10" s="30">
        <f t="shared" si="0"/>
        <v>61315</v>
      </c>
    </row>
    <row r="11" spans="1:7" x14ac:dyDescent="0.35">
      <c r="A11" s="2"/>
      <c r="B11" s="2"/>
      <c r="C11" s="2"/>
      <c r="D11" s="2"/>
      <c r="E11" s="2"/>
      <c r="F11" s="2"/>
      <c r="G11" s="2"/>
    </row>
    <row r="12" spans="1:7" x14ac:dyDescent="0.35">
      <c r="A12" s="6" t="s">
        <v>376</v>
      </c>
      <c r="B12" s="2"/>
      <c r="C12" s="2"/>
      <c r="D12" s="2"/>
      <c r="E12" s="2"/>
      <c r="F12" s="2"/>
      <c r="G12" s="2"/>
    </row>
    <row r="13" spans="1:7" x14ac:dyDescent="0.35">
      <c r="A13" s="4" t="s">
        <v>35</v>
      </c>
      <c r="B13" s="4" t="s">
        <v>122</v>
      </c>
      <c r="C13" s="4" t="s">
        <v>134</v>
      </c>
      <c r="D13" s="4" t="s">
        <v>143</v>
      </c>
      <c r="E13" s="4" t="s">
        <v>152</v>
      </c>
      <c r="F13" s="4" t="s">
        <v>161</v>
      </c>
      <c r="G13" s="4" t="s">
        <v>375</v>
      </c>
    </row>
    <row r="14" spans="1:7" x14ac:dyDescent="0.35">
      <c r="A14" s="16" t="s">
        <v>43</v>
      </c>
      <c r="B14" s="11">
        <f>IFERROR(SUMIFS(tblOrders[Revenue],tblOrders[Cuisine],$A14,tblOrders[Zone],B$13)/COUNTIFS(tblOrders[Cuisine],$A14,tblOrders[Zone],B$13),0)</f>
        <v>403.33333333333331</v>
      </c>
      <c r="C14" s="11">
        <f>IFERROR(SUMIFS(tblOrders[Revenue],tblOrders[Cuisine],$A14,tblOrders[Zone],C$13)/COUNTIFS(tblOrders[Cuisine],$A14,tblOrders[Zone],C$13),0)</f>
        <v>383</v>
      </c>
      <c r="D14" s="11">
        <f>IFERROR(SUMIFS(tblOrders[Revenue],tblOrders[Cuisine],$A14,tblOrders[Zone],D$13)/COUNTIFS(tblOrders[Cuisine],$A14,tblOrders[Zone],D$13),0)</f>
        <v>493.33333333333331</v>
      </c>
      <c r="E14" s="11">
        <f>IFERROR(SUMIFS(tblOrders[Revenue],tblOrders[Cuisine],$A14,tblOrders[Zone],E$13)/COUNTIFS(tblOrders[Cuisine],$A14,tblOrders[Zone],E$13),0)</f>
        <v>520</v>
      </c>
      <c r="F14" s="11">
        <f>IFERROR(SUMIFS(tblOrders[Revenue],tblOrders[Cuisine],$A14,tblOrders[Zone],F$13)/COUNTIFS(tblOrders[Cuisine],$A14,tblOrders[Zone],F$13),0)</f>
        <v>903.33333333333337</v>
      </c>
      <c r="G14" s="11">
        <f>SUMIFS(tblOrders[Revenue],tblOrders[Cuisine],$A14)/COUNTIFS(tblOrders[Cuisine],$A14)</f>
        <v>504.2</v>
      </c>
    </row>
    <row r="15" spans="1:7" x14ac:dyDescent="0.35">
      <c r="A15" s="16" t="s">
        <v>47</v>
      </c>
      <c r="B15" s="11">
        <f>IFERROR(SUMIFS(tblOrders[Revenue],tblOrders[Cuisine],$A15,tblOrders[Zone],B$13)/COUNTIFS(tblOrders[Cuisine],$A15,tblOrders[Zone],B$13),0)</f>
        <v>508.75</v>
      </c>
      <c r="C15" s="11">
        <f>IFERROR(SUMIFS(tblOrders[Revenue],tblOrders[Cuisine],$A15,tblOrders[Zone],C$13)/COUNTIFS(tblOrders[Cuisine],$A15,tblOrders[Zone],C$13),0)</f>
        <v>407.5</v>
      </c>
      <c r="D15" s="11">
        <f>IFERROR(SUMIFS(tblOrders[Revenue],tblOrders[Cuisine],$A15,tblOrders[Zone],D$13)/COUNTIFS(tblOrders[Cuisine],$A15,tblOrders[Zone],D$13),0)</f>
        <v>534.375</v>
      </c>
      <c r="E15" s="11">
        <f>IFERROR(SUMIFS(tblOrders[Revenue],tblOrders[Cuisine],$A15,tblOrders[Zone],E$13)/COUNTIFS(tblOrders[Cuisine],$A15,tblOrders[Zone],E$13),0)</f>
        <v>566.25</v>
      </c>
      <c r="F15" s="11">
        <f>IFERROR(SUMIFS(tblOrders[Revenue],tblOrders[Cuisine],$A15,tblOrders[Zone],F$13)/COUNTIFS(tblOrders[Cuisine],$A15,tblOrders[Zone],F$13),0)</f>
        <v>669</v>
      </c>
      <c r="G15" s="11">
        <f>SUMIFS(tblOrders[Revenue],tblOrders[Cuisine],$A15)/COUNTIFS(tblOrders[Cuisine],$A15)</f>
        <v>523.44827586206895</v>
      </c>
    </row>
    <row r="16" spans="1:7" x14ac:dyDescent="0.35">
      <c r="A16" s="16" t="s">
        <v>50</v>
      </c>
      <c r="B16" s="11">
        <f>IFERROR(SUMIFS(tblOrders[Revenue],tblOrders[Cuisine],$A16,tblOrders[Zone],B$13)/COUNTIFS(tblOrders[Cuisine],$A16,tblOrders[Zone],B$13),0)</f>
        <v>446.66666666666669</v>
      </c>
      <c r="C16" s="11">
        <f>IFERROR(SUMIFS(tblOrders[Revenue],tblOrders[Cuisine],$A16,tblOrders[Zone],C$13)/COUNTIFS(tblOrders[Cuisine],$A16,tblOrders[Zone],C$13),0)</f>
        <v>405</v>
      </c>
      <c r="D16" s="11">
        <f>IFERROR(SUMIFS(tblOrders[Revenue],tblOrders[Cuisine],$A16,tblOrders[Zone],D$13)/COUNTIFS(tblOrders[Cuisine],$A16,tblOrders[Zone],D$13),0)</f>
        <v>428.88888888888891</v>
      </c>
      <c r="E16" s="11">
        <f>IFERROR(SUMIFS(tblOrders[Revenue],tblOrders[Cuisine],$A16,tblOrders[Zone],E$13)/COUNTIFS(tblOrders[Cuisine],$A16,tblOrders[Zone],E$13),0)</f>
        <v>542.5</v>
      </c>
      <c r="F16" s="11">
        <f>IFERROR(SUMIFS(tblOrders[Revenue],tblOrders[Cuisine],$A16,tblOrders[Zone],F$13)/COUNTIFS(tblOrders[Cuisine],$A16,tblOrders[Zone],F$13),0)</f>
        <v>450.55555555555554</v>
      </c>
      <c r="G16" s="11">
        <f>SUMIFS(tblOrders[Revenue],tblOrders[Cuisine],$A16)/COUNTIFS(tblOrders[Cuisine],$A16)</f>
        <v>457.5</v>
      </c>
    </row>
    <row r="17" spans="1:7" x14ac:dyDescent="0.35">
      <c r="A17" s="16" t="s">
        <v>55</v>
      </c>
      <c r="B17" s="11">
        <f>IFERROR(SUMIFS(tblOrders[Revenue],tblOrders[Cuisine],$A17,tblOrders[Zone],B$13)/COUNTIFS(tblOrders[Cuisine],$A17,tblOrders[Zone],B$13),0)</f>
        <v>532.27272727272725</v>
      </c>
      <c r="C17" s="11">
        <f>IFERROR(SUMIFS(tblOrders[Revenue],tblOrders[Cuisine],$A17,tblOrders[Zone],C$13)/COUNTIFS(tblOrders[Cuisine],$A17,tblOrders[Zone],C$13),0)</f>
        <v>580</v>
      </c>
      <c r="D17" s="11">
        <f>IFERROR(SUMIFS(tblOrders[Revenue],tblOrders[Cuisine],$A17,tblOrders[Zone],D$13)/COUNTIFS(tblOrders[Cuisine],$A17,tblOrders[Zone],D$13),0)</f>
        <v>637.5</v>
      </c>
      <c r="E17" s="11">
        <f>IFERROR(SUMIFS(tblOrders[Revenue],tblOrders[Cuisine],$A17,tblOrders[Zone],E$13)/COUNTIFS(tblOrders[Cuisine],$A17,tblOrders[Zone],E$13),0)</f>
        <v>531.66666666666663</v>
      </c>
      <c r="F17" s="11">
        <f>IFERROR(SUMIFS(tblOrders[Revenue],tblOrders[Cuisine],$A17,tblOrders[Zone],F$13)/COUNTIFS(tblOrders[Cuisine],$A17,tblOrders[Zone],F$13),0)</f>
        <v>522.5</v>
      </c>
      <c r="G17" s="11">
        <f>SUMIFS(tblOrders[Revenue],tblOrders[Cuisine],$A17)/COUNTIFS(tblOrders[Cuisine],$A17)</f>
        <v>550.13888888888891</v>
      </c>
    </row>
    <row r="18" spans="1:7" x14ac:dyDescent="0.35">
      <c r="A18" s="29" t="s">
        <v>375</v>
      </c>
      <c r="B18" s="30">
        <f>SUMIFS(tblOrders[Revenue],tblOrders[Zone],B$13)/COUNTIFS(tblOrders[Zone],B$13)</f>
        <v>485.41666666666669</v>
      </c>
      <c r="C18" s="30">
        <f>SUMIFS(tblOrders[Revenue],tblOrders[Zone],C$13)/COUNTIFS(tblOrders[Zone],C$13)</f>
        <v>448.63636363636363</v>
      </c>
      <c r="D18" s="30">
        <f>SUMIFS(tblOrders[Revenue],tblOrders[Zone],D$13)/COUNTIFS(tblOrders[Zone],D$13)</f>
        <v>505.37037037037038</v>
      </c>
      <c r="E18" s="30">
        <f>SUMIFS(tblOrders[Revenue],tblOrders[Zone],E$13)/COUNTIFS(tblOrders[Zone],E$13)</f>
        <v>537.70833333333337</v>
      </c>
      <c r="F18" s="30">
        <f>SUMIFS(tblOrders[Revenue],tblOrders[Zone],F$13)/COUNTIFS(tblOrders[Zone],F$13)</f>
        <v>575.86956521739125</v>
      </c>
      <c r="G18" s="30">
        <f>SUM(tblOrders[Revenue])/ROWS(tblOrders[OrderID])</f>
        <v>510.95833333333331</v>
      </c>
    </row>
    <row r="19" spans="1:7" x14ac:dyDescent="0.35">
      <c r="A19" s="2"/>
      <c r="B19" s="2"/>
      <c r="C19" s="2"/>
      <c r="D19" s="2"/>
      <c r="E19" s="2"/>
      <c r="F19" s="2"/>
      <c r="G19" s="2"/>
    </row>
    <row r="20" spans="1:7" x14ac:dyDescent="0.35">
      <c r="A20" s="6" t="s">
        <v>377</v>
      </c>
      <c r="B20" s="2"/>
      <c r="C20" s="2"/>
      <c r="D20" s="2"/>
      <c r="E20" s="2"/>
      <c r="F20" s="2"/>
      <c r="G20" s="2"/>
    </row>
    <row r="21" spans="1:7" x14ac:dyDescent="0.35">
      <c r="A21" s="4" t="s">
        <v>378</v>
      </c>
      <c r="B21" s="4" t="s">
        <v>379</v>
      </c>
      <c r="C21" s="4" t="s">
        <v>380</v>
      </c>
      <c r="D21" s="2"/>
      <c r="E21" s="2"/>
      <c r="F21" s="2"/>
      <c r="G21" s="2"/>
    </row>
    <row r="22" spans="1:7" x14ac:dyDescent="0.35">
      <c r="A22" s="31">
        <v>46204</v>
      </c>
      <c r="B22" s="8" t="str">
        <f>"Qtr"&amp;ROUNDUP(MONTH(A22)/3,0)</f>
        <v>Qtr3</v>
      </c>
      <c r="C22" s="8">
        <f>COUNTIFS(tblOrders[OrderDate],"&gt;="&amp;A22,tblOrders[OrderDate],"&lt;"&amp;EDATE(A22,1))</f>
        <v>35</v>
      </c>
      <c r="D22" s="2"/>
      <c r="E22" s="2"/>
      <c r="F22" s="2"/>
      <c r="G22" s="2"/>
    </row>
    <row r="23" spans="1:7" x14ac:dyDescent="0.35">
      <c r="A23" s="31">
        <v>46235</v>
      </c>
      <c r="B23" s="8" t="str">
        <f>"Qtr"&amp;ROUNDUP(MONTH(A23)/3,0)</f>
        <v>Qtr3</v>
      </c>
      <c r="C23" s="8">
        <f>COUNTIFS(tblOrders[OrderDate],"&gt;="&amp;A23,tblOrders[OrderDate],"&lt;"&amp;EDATE(A23,1))</f>
        <v>51</v>
      </c>
      <c r="D23" s="2"/>
      <c r="E23" s="2"/>
      <c r="F23" s="2"/>
      <c r="G23" s="2"/>
    </row>
    <row r="24" spans="1:7" x14ac:dyDescent="0.35">
      <c r="A24" s="31">
        <v>46266</v>
      </c>
      <c r="B24" s="8" t="str">
        <f>"Qtr"&amp;ROUNDUP(MONTH(A24)/3,0)</f>
        <v>Qtr3</v>
      </c>
      <c r="C24" s="8">
        <f>COUNTIFS(tblOrders[OrderDate],"&gt;="&amp;A24,tblOrders[OrderDate],"&lt;"&amp;EDATE(A24,1))</f>
        <v>34</v>
      </c>
      <c r="D24" s="2"/>
      <c r="E24" s="2"/>
      <c r="F24" s="2"/>
      <c r="G24" s="2"/>
    </row>
    <row r="25" spans="1:7" x14ac:dyDescent="0.35">
      <c r="A25" s="29" t="s">
        <v>375</v>
      </c>
      <c r="B25" s="29"/>
      <c r="C25" s="29">
        <f>SUM(C22:C24)</f>
        <v>120</v>
      </c>
      <c r="D25" s="2"/>
      <c r="E25" s="2"/>
      <c r="F25" s="2"/>
      <c r="G25" s="2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8"/>
  <sheetViews>
    <sheetView showGridLines="0" workbookViewId="0">
      <selection activeCell="B4" sqref="B4:C4"/>
    </sheetView>
  </sheetViews>
  <sheetFormatPr defaultRowHeight="14.5" x14ac:dyDescent="0.35"/>
  <cols>
    <col min="1" max="1" width="3" customWidth="1"/>
    <col min="2" max="3" width="14" customWidth="1"/>
    <col min="4" max="4" width="3" customWidth="1"/>
    <col min="5" max="6" width="14" customWidth="1"/>
    <col min="7" max="7" width="3" customWidth="1"/>
    <col min="8" max="9" width="14" customWidth="1"/>
  </cols>
  <sheetData>
    <row r="1" spans="1:12" ht="20" x14ac:dyDescent="0.4">
      <c r="A1" s="2"/>
      <c r="B1" s="32" t="s">
        <v>381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5">
      <c r="A2" s="2"/>
      <c r="B2" s="3" t="s">
        <v>382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5">
      <c r="A3" s="2"/>
      <c r="B3" s="38" t="s">
        <v>383</v>
      </c>
      <c r="C3" s="39"/>
      <c r="D3" s="2"/>
      <c r="E3" s="38" t="s">
        <v>384</v>
      </c>
      <c r="F3" s="39"/>
      <c r="G3" s="2"/>
      <c r="H3" s="38" t="s">
        <v>385</v>
      </c>
      <c r="I3" s="39"/>
      <c r="J3" s="2"/>
      <c r="K3" s="2"/>
      <c r="L3" s="2"/>
    </row>
    <row r="4" spans="1:12" ht="34" customHeight="1" x14ac:dyDescent="0.35">
      <c r="A4" s="2"/>
      <c r="B4" s="41">
        <f>SUM(tblOrders[Revenue])</f>
        <v>61315</v>
      </c>
      <c r="C4" s="37"/>
      <c r="D4" s="2"/>
      <c r="E4" s="36">
        <f>AVERAGE(tblOrders[Rating])</f>
        <v>4.3</v>
      </c>
      <c r="F4" s="37"/>
      <c r="G4" s="2"/>
      <c r="H4" s="40">
        <f>COUNTIFS(tblOrders[Status],"Delivered",tblOrders[DeliveryTime],"&lt;=40")/ROWS(tblOrders[OrderID])</f>
        <v>0.8</v>
      </c>
      <c r="I4" s="37"/>
      <c r="J4" s="2"/>
      <c r="K4" s="2"/>
      <c r="L4" s="2"/>
    </row>
    <row r="5" spans="1:12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5.5" x14ac:dyDescent="0.35">
      <c r="A6" s="2"/>
      <c r="B6" s="33" t="s">
        <v>386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35">
      <c r="A7" s="2"/>
      <c r="B7" s="13" t="s">
        <v>387</v>
      </c>
      <c r="C7" s="2"/>
      <c r="D7" s="2"/>
      <c r="E7" s="2"/>
      <c r="F7" s="2"/>
      <c r="G7" s="2"/>
      <c r="H7" s="2"/>
      <c r="I7" s="2"/>
      <c r="J7" s="2"/>
      <c r="K7" s="2"/>
      <c r="L7" s="13" t="s">
        <v>388</v>
      </c>
    </row>
    <row r="8" spans="1:12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35">
      <c r="A22" s="2"/>
      <c r="B22" s="13" t="s">
        <v>389</v>
      </c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35">
      <c r="A38" s="2"/>
      <c r="B38" s="3" t="s">
        <v>390</v>
      </c>
      <c r="C38" s="2"/>
      <c r="D38" s="2"/>
      <c r="E38" s="2"/>
      <c r="F38" s="2"/>
      <c r="G38" s="2"/>
      <c r="H38" s="2"/>
      <c r="I38" s="2"/>
      <c r="J38" s="2"/>
      <c r="K38" s="2"/>
      <c r="L38" s="2"/>
    </row>
  </sheetData>
  <mergeCells count="6">
    <mergeCell ref="E4:F4"/>
    <mergeCell ref="B3:C3"/>
    <mergeCell ref="H4:I4"/>
    <mergeCell ref="B4:C4"/>
    <mergeCell ref="E3:F3"/>
    <mergeCell ref="H3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9"/>
  <sheetViews>
    <sheetView workbookViewId="0"/>
  </sheetViews>
  <sheetFormatPr defaultRowHeight="14.5" x14ac:dyDescent="0.35"/>
  <cols>
    <col min="1" max="1" width="9" customWidth="1"/>
    <col min="2" max="2" width="20" customWidth="1"/>
    <col min="3" max="3" width="120" customWidth="1"/>
  </cols>
  <sheetData>
    <row r="1" spans="1:3" ht="18" x14ac:dyDescent="0.4">
      <c r="A1" s="1" t="s">
        <v>391</v>
      </c>
      <c r="B1" s="2"/>
      <c r="C1" s="2"/>
    </row>
    <row r="2" spans="1:3" x14ac:dyDescent="0.35">
      <c r="A2" s="3" t="s">
        <v>392</v>
      </c>
      <c r="B2" s="2"/>
      <c r="C2" s="2"/>
    </row>
    <row r="3" spans="1:3" x14ac:dyDescent="0.35">
      <c r="A3" s="4" t="s">
        <v>393</v>
      </c>
      <c r="B3" s="4" t="s">
        <v>394</v>
      </c>
      <c r="C3" s="4" t="s">
        <v>395</v>
      </c>
    </row>
    <row r="4" spans="1:3" x14ac:dyDescent="0.35">
      <c r="A4" s="34" t="s">
        <v>396</v>
      </c>
      <c r="B4" s="34" t="s">
        <v>397</v>
      </c>
      <c r="C4" s="34"/>
    </row>
    <row r="5" spans="1:3" x14ac:dyDescent="0.35">
      <c r="A5" s="5" t="s">
        <v>398</v>
      </c>
      <c r="B5" s="5" t="s">
        <v>399</v>
      </c>
      <c r="C5" s="5" t="s">
        <v>400</v>
      </c>
    </row>
    <row r="6" spans="1:3" x14ac:dyDescent="0.35">
      <c r="A6" s="5" t="s">
        <v>401</v>
      </c>
      <c r="B6" s="5" t="s">
        <v>402</v>
      </c>
      <c r="C6" s="5" t="s">
        <v>403</v>
      </c>
    </row>
    <row r="7" spans="1:3" ht="25" x14ac:dyDescent="0.35">
      <c r="A7" s="5" t="s">
        <v>404</v>
      </c>
      <c r="B7" s="5" t="s">
        <v>405</v>
      </c>
      <c r="C7" s="5" t="s">
        <v>406</v>
      </c>
    </row>
    <row r="8" spans="1:3" ht="25" x14ac:dyDescent="0.35">
      <c r="A8" s="5" t="s">
        <v>407</v>
      </c>
      <c r="B8" s="5" t="s">
        <v>408</v>
      </c>
      <c r="C8" s="5" t="s">
        <v>409</v>
      </c>
    </row>
    <row r="9" spans="1:3" x14ac:dyDescent="0.35">
      <c r="A9" s="5" t="s">
        <v>410</v>
      </c>
      <c r="B9" s="5" t="s">
        <v>411</v>
      </c>
      <c r="C9" s="5" t="s">
        <v>412</v>
      </c>
    </row>
    <row r="10" spans="1:3" x14ac:dyDescent="0.35">
      <c r="A10" s="5" t="s">
        <v>413</v>
      </c>
      <c r="B10" s="5" t="s">
        <v>414</v>
      </c>
      <c r="C10" s="5" t="s">
        <v>415</v>
      </c>
    </row>
    <row r="11" spans="1:3" x14ac:dyDescent="0.35">
      <c r="A11" s="5" t="s">
        <v>416</v>
      </c>
      <c r="B11" s="5" t="s">
        <v>417</v>
      </c>
      <c r="C11" s="5" t="s">
        <v>418</v>
      </c>
    </row>
    <row r="12" spans="1:3" x14ac:dyDescent="0.35">
      <c r="A12" s="5" t="s">
        <v>419</v>
      </c>
      <c r="B12" s="5" t="s">
        <v>420</v>
      </c>
      <c r="C12" s="5" t="s">
        <v>421</v>
      </c>
    </row>
    <row r="13" spans="1:3" x14ac:dyDescent="0.35">
      <c r="A13" s="5" t="s">
        <v>422</v>
      </c>
      <c r="B13" s="5" t="s">
        <v>423</v>
      </c>
      <c r="C13" s="5" t="s">
        <v>424</v>
      </c>
    </row>
    <row r="14" spans="1:3" x14ac:dyDescent="0.35">
      <c r="A14" s="34" t="s">
        <v>425</v>
      </c>
      <c r="B14" s="34" t="s">
        <v>426</v>
      </c>
      <c r="C14" s="34"/>
    </row>
    <row r="15" spans="1:3" x14ac:dyDescent="0.35">
      <c r="A15" s="5" t="s">
        <v>398</v>
      </c>
      <c r="B15" s="5" t="s">
        <v>427</v>
      </c>
      <c r="C15" s="5" t="s">
        <v>428</v>
      </c>
    </row>
    <row r="16" spans="1:3" ht="25" x14ac:dyDescent="0.35">
      <c r="A16" s="5" t="s">
        <v>401</v>
      </c>
      <c r="B16" s="5" t="s">
        <v>429</v>
      </c>
      <c r="C16" s="5" t="s">
        <v>430</v>
      </c>
    </row>
    <row r="17" spans="1:3" x14ac:dyDescent="0.35">
      <c r="A17" s="5" t="s">
        <v>404</v>
      </c>
      <c r="B17" s="5" t="s">
        <v>431</v>
      </c>
      <c r="C17" s="5" t="s">
        <v>432</v>
      </c>
    </row>
    <row r="18" spans="1:3" x14ac:dyDescent="0.35">
      <c r="A18" s="5" t="s">
        <v>407</v>
      </c>
      <c r="B18" s="5" t="s">
        <v>414</v>
      </c>
      <c r="C18" s="5" t="s">
        <v>433</v>
      </c>
    </row>
    <row r="19" spans="1:3" x14ac:dyDescent="0.35">
      <c r="A19" s="5" t="s">
        <v>410</v>
      </c>
      <c r="B19" s="5" t="s">
        <v>434</v>
      </c>
      <c r="C19" s="5" t="s">
        <v>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Index</vt:lpstr>
      <vt:lpstr>T1_Orders</vt:lpstr>
      <vt:lpstr>Premium Orders</vt:lpstr>
      <vt:lpstr>Restaurants</vt:lpstr>
      <vt:lpstr>Orders</vt:lpstr>
      <vt:lpstr>tblOrders</vt:lpstr>
      <vt:lpstr>Stats Summary</vt:lpstr>
      <vt:lpstr>Zone Stats</vt:lpstr>
      <vt:lpstr>Pivot Check</vt:lpstr>
      <vt:lpstr>Dashboard</vt:lpstr>
      <vt:lpstr>Pivot Guide</vt:lpstr>
      <vt:lpstr>T1_Orders!Criteria</vt:lpstr>
      <vt:lpstr>'Premium Orders'!Extract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sagar gupta</cp:lastModifiedBy>
  <dcterms:created xsi:type="dcterms:W3CDTF">2026-10-06T04:51:32Z</dcterms:created>
  <dcterms:modified xsi:type="dcterms:W3CDTF">2026-10-06T05:06:23Z</dcterms:modified>
</cp:coreProperties>
</file>