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9_Instructions" sheetId="1" state="visible" r:id="rId1"/>
    <sheet xmlns:r="http://schemas.openxmlformats.org/officeDocument/2006/relationships" name="01_Food_Orders_Cleaning" sheetId="2" state="visible" r:id="rId2"/>
    <sheet xmlns:r="http://schemas.openxmlformats.org/officeDocument/2006/relationships" name="01B_Cleaned_Orders" sheetId="3" state="visible" r:id="rId3"/>
    <sheet xmlns:r="http://schemas.openxmlformats.org/officeDocument/2006/relationships" name="02_Restaurant_Details" sheetId="4" state="visible" r:id="rId4"/>
    <sheet xmlns:r="http://schemas.openxmlformats.org/officeDocument/2006/relationships" name="03_XLOOKUP_Result" sheetId="5" state="visible" r:id="rId5"/>
    <sheet xmlns:r="http://schemas.openxmlformats.org/officeDocument/2006/relationships" name="04_Day_Extraction" sheetId="6" state="visible" r:id="rId6"/>
    <sheet xmlns:r="http://schemas.openxmlformats.org/officeDocument/2006/relationships" name="05_City_Summary" sheetId="7" state="visible" r:id="rId7"/>
    <sheet xmlns:r="http://schemas.openxmlformats.org/officeDocument/2006/relationships" name="06_Dashboard" sheetId="8" state="visible" r:id="rId8"/>
    <sheet xmlns:r="http://schemas.openxmlformats.org/officeDocument/2006/relationships" name="07_Macro_Basic" sheetId="9" state="visible" r:id="rId9"/>
    <sheet xmlns:r="http://schemas.openxmlformats.org/officeDocument/2006/relationships" name="08_Macro_10_Orders" sheetId="10" state="visible" r:id="rId10"/>
    <sheet xmlns:r="http://schemas.openxmlformats.org/officeDocument/2006/relationships" name="09_Instagram_Followers" sheetId="11" state="visible" r:id="rId11"/>
    <sheet xmlns:r="http://schemas.openxmlformats.org/officeDocument/2006/relationships" name="10_VBA_Basics" sheetId="12" state="visible" r:id="rId12"/>
    <sheet xmlns:r="http://schemas.openxmlformats.org/officeDocument/2006/relationships" name="11_Recorded_Macro_Task" sheetId="13" state="visible" r:id="rId13"/>
    <sheet xmlns:r="http://schemas.openxmlformats.org/officeDocument/2006/relationships" name="12_IPL_Macro" sheetId="14" state="visible" r:id="rId14"/>
    <sheet xmlns:r="http://schemas.openxmlformats.org/officeDocument/2006/relationships" name="13_Clean_Playlist" sheetId="15" state="visible" r:id="rId15"/>
    <sheet xmlns:r="http://schemas.openxmlformats.org/officeDocument/2006/relationships" name="14_Flipkart_Dashboard" sheetId="16" state="visible" r:id="rId16"/>
    <sheet xmlns:r="http://schemas.openxmlformats.org/officeDocument/2006/relationships" name="15_Zomato_PDF" sheetId="17" state="visible" r:id="rId17"/>
    <sheet xmlns:r="http://schemas.openxmlformats.org/officeDocument/2006/relationships" name="16_PowerQuery_Refresh" sheetId="18" state="visible" r:id="rId18"/>
    <sheet xmlns:r="http://schemas.openxmlformats.org/officeDocument/2006/relationships" name="17_Prompt_Used" sheetId="19" state="visible" r:id="rId19"/>
    <sheet xmlns:r="http://schemas.openxmlformats.org/officeDocument/2006/relationships" name="18_VBA_Code" sheetId="20" state="visible" r:id="rId20"/>
  </sheets>
  <definedNames/>
  <calcPr calcId="124519" calcMode="auto" fullCalcOnLoad="1" forceFullCalc="1"/>
</workbook>
</file>

<file path=xl/styles.xml><?xml version="1.0" encoding="utf-8"?>
<styleSheet xmlns="http://schemas.openxmlformats.org/spreadsheetml/2006/main">
  <numFmts count="3">
    <numFmt numFmtId="164" formatCode="yyyy-mm-dd h:mm:ss"/>
    <numFmt numFmtId="165" formatCode="dd-mm-yyyy"/>
    <numFmt numFmtId="166" formatCode="₹#,##0.00"/>
  </numFmts>
  <fonts count="3">
    <font>
      <name val="Calibri"/>
      <family val="2"/>
      <color theme="1"/>
      <sz val="11"/>
      <scheme val="minor"/>
    </font>
    <font>
      <b val="1"/>
      <color rgb="00FFFFFF"/>
    </font>
    <font>
      <b val="1"/>
      <sz val="18"/>
    </font>
  </fonts>
  <fills count="3">
    <fill>
      <patternFill/>
    </fill>
    <fill>
      <patternFill patternType="gray125"/>
    </fill>
    <fill>
      <patternFill patternType="solid">
        <fgColor rgb="001F4E78"/>
      </patternFill>
    </fill>
  </fills>
  <borders count="2">
    <border>
      <left/>
      <right/>
      <top/>
      <bottom/>
      <diagonal/>
    </border>
    <border>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xf>
    <xf numFmtId="0" fontId="0" fillId="0" borderId="0" applyAlignment="1" pivotButton="0" quotePrefix="0" xfId="0">
      <alignment vertical="top" wrapText="1"/>
    </xf>
    <xf numFmtId="165" fontId="0" fillId="0" borderId="0" pivotButton="0" quotePrefix="0" xfId="0"/>
    <xf numFmtId="166" fontId="0"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Orders by City</a:t>
            </a:r>
          </a:p>
        </rich>
      </tx>
    </title>
    <plotArea>
      <barChart>
        <barDir val="col"/>
        <grouping val="clustered"/>
        <ser>
          <idx val="0"/>
          <order val="0"/>
          <tx>
            <strRef>
              <f>'05_City_Summary'!B1</f>
            </strRef>
          </tx>
          <spPr>
            <a:ln xmlns:a="http://schemas.openxmlformats.org/drawingml/2006/main">
              <a:prstDash val="solid"/>
            </a:ln>
          </spPr>
          <cat>
            <numRef>
              <f>'05_City_Summary'!$A$2:$A$6</f>
            </numRef>
          </cat>
          <val>
            <numRef>
              <f>'05_City_Summary'!$B$2:$B$6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City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Orders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FoodOrdersRaw" displayName="FoodOrdersRaw" ref="A1:H104" headerRowCount="1">
  <autoFilter ref="A1:H104"/>
  <tableColumns count="8">
    <tableColumn id="1" name="Order ID"/>
    <tableColumn id="2" name="Restaurant ID"/>
    <tableColumn id="3" name="City"/>
    <tableColumn id="4" name="Delivery Date"/>
    <tableColumn id="5" name="Delivery Partner"/>
    <tableColumn id="6" name="Delivery Time (min)"/>
    <tableColumn id="7" name="Delivery Charge"/>
    <tableColumn id="8" name="Status"/>
  </tableColumns>
  <tableStyleInfo name="TableStyleMedium2" showFirstColumn="0" showLastColumn="0" showRowStripes="1"/>
</table>
</file>

<file path=xl/tables/table2.xml><?xml version="1.0" encoding="utf-8"?>
<table xmlns="http://schemas.openxmlformats.org/spreadsheetml/2006/main" id="2" name="CleanOrders" displayName="CleanOrders" ref="A1:H101" headerRowCount="1">
  <autoFilter ref="A1:H101"/>
  <tableColumns count="8">
    <tableColumn id="1" name="Order ID"/>
    <tableColumn id="2" name="Restaurant ID"/>
    <tableColumn id="3" name="City"/>
    <tableColumn id="4" name="Delivery Date"/>
    <tableColumn id="5" name="Delivery Partner"/>
    <tableColumn id="6" name="Delivery Time (min)"/>
    <tableColumn id="7" name="Delivery Charge"/>
    <tableColumn id="8" name="Status"/>
  </tableColumns>
  <tableStyleInfo name="TableStyleMedium2" showFirstColumn="0" showLastColumn="0" showRowStripes="1"/>
</table>
</file>

<file path=xl/tables/table3.xml><?xml version="1.0" encoding="utf-8"?>
<table xmlns="http://schemas.openxmlformats.org/spreadsheetml/2006/main" id="3" name="RestaurantDetails" displayName="RestaurantDetails" ref="A1:C11" headerRowCount="1">
  <autoFilter ref="A1:C11"/>
  <tableColumns count="3">
    <tableColumn id="1" name="Restaurant ID"/>
    <tableColumn id="2" name="Restaurant Name"/>
    <tableColumn id="3" name="Restaurant City"/>
  </tableColumns>
  <tableStyleInfo name="TableStyleMedium2" showFirstColumn="0" showLastColumn="0" showRowStripes="1"/>
</table>
</file>

<file path=xl/tables/table4.xml><?xml version="1.0" encoding="utf-8"?>
<table xmlns="http://schemas.openxmlformats.org/spreadsheetml/2006/main" id="4" name="LookupOrders" displayName="LookupOrders" ref="A1:I101" headerRowCount="1">
  <autoFilter ref="A1:I101"/>
  <tableColumns count="9">
    <tableColumn id="1" name="Order ID"/>
    <tableColumn id="2" name="Restaurant ID"/>
    <tableColumn id="3" name="City"/>
    <tableColumn id="4" name="Delivery Date"/>
    <tableColumn id="5" name="Delivery Partner"/>
    <tableColumn id="6" name="Delivery Time (min)"/>
    <tableColumn id="7" name="Delivery Charge"/>
    <tableColumn id="8" name="Status"/>
    <tableColumn id="9" name="Restaurant Name"/>
  </tableColumns>
  <tableStyleInfo name="TableStyleMedium2" showFirstColumn="0" showLastColumn="0" showRowStripes="1"/>
</table>
</file>

<file path=xl/tables/table5.xml><?xml version="1.0" encoding="utf-8"?>
<table xmlns="http://schemas.openxmlformats.org/spreadsheetml/2006/main" id="5" name="DayExtraction" displayName="DayExtraction" ref="A1:D101" headerRowCount="1">
  <autoFilter ref="A1:D101"/>
  <tableColumns count="4">
    <tableColumn id="1" name="Order ID"/>
    <tableColumn id="2" name="Delivery Date"/>
    <tableColumn id="3" name="Day of Week"/>
    <tableColumn id="4" name="WEEKDAY Number"/>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0" customWidth="1" min="1" max="1"/>
    <col width="110" customWidth="1" min="2" max="2"/>
  </cols>
  <sheetData>
    <row r="1">
      <c r="A1" s="1" t="inlineStr">
        <is>
          <t>STEP</t>
        </is>
      </c>
      <c r="B1" s="1" t="inlineStr">
        <is>
          <t>INSTRUCTION</t>
        </is>
      </c>
    </row>
    <row r="2">
      <c r="A2" t="inlineStr">
        <is>
          <t>1</t>
        </is>
      </c>
      <c r="B2" s="2" t="inlineStr">
        <is>
          <t>Open this workbook in Microsoft Excel Desktop.</t>
        </is>
      </c>
    </row>
    <row r="3">
      <c r="A3" t="inlineStr">
        <is>
          <t>2</t>
        </is>
      </c>
      <c r="B3" s="2" t="inlineStr">
        <is>
          <t>Complete the Food Delivery cleaning/lookup/day extraction tasks using the prepared sheets. The cleaned result is already demonstrated in 01B_Cleaned_Orders.</t>
        </is>
      </c>
    </row>
    <row r="4">
      <c r="A4" t="inlineStr">
        <is>
          <t>3</t>
        </is>
      </c>
      <c r="B4" s="2" t="inlineStr">
        <is>
          <t>For the City Summary, use Insert &gt; PivotTable on the cleaned data. Put City in Rows, Order ID in Values (Count), Delivery Charge in Values (Sum), then insert a Column/Bar PivotChart.</t>
        </is>
      </c>
    </row>
    <row r="5">
      <c r="A5" t="inlineStr">
        <is>
          <t>4</t>
        </is>
      </c>
      <c r="B5" s="2" t="inlineStr">
        <is>
          <t>For the Dashboard, create PivotTables/Charts and insert a City slicer: PivotTable Analyze &gt; Insert Slicer &gt; City. Connect the slicer to relevant PivotTables using Report Connections.</t>
        </is>
      </c>
    </row>
    <row r="6">
      <c r="A6" t="inlineStr">
        <is>
          <t>5</t>
        </is>
      </c>
      <c r="B6" s="2" t="inlineStr">
        <is>
          <t>For Developer-tab tasks, enable Developer: File &gt; Options &gt; Customize Ribbon &gt; check Developer.</t>
        </is>
      </c>
    </row>
    <row r="7">
      <c r="A7" t="inlineStr">
        <is>
          <t>6</t>
        </is>
      </c>
      <c r="B7" s="2" t="inlineStr">
        <is>
          <t>For macro-recorder tasks, use Developer &gt; Record Macro. Do not edit VBA for the task where the assignment explicitly says recorder only.</t>
        </is>
      </c>
    </row>
    <row r="8">
      <c r="A8" t="inlineStr">
        <is>
          <t>7</t>
        </is>
      </c>
      <c r="B8" s="2" t="inlineStr">
        <is>
          <t>For written VBA tasks, press Alt+F11 &gt; Insert &gt; Module, copy the required code from 18_VBA_Code, then run it.</t>
        </is>
      </c>
    </row>
    <row r="9">
      <c r="A9" t="inlineStr">
        <is>
          <t>8</t>
        </is>
      </c>
      <c r="B9" s="2" t="inlineStr">
        <is>
          <t>Save the final workbook as Excel Macro-Enabled Workbook (*.xlsm).</t>
        </is>
      </c>
    </row>
    <row r="10">
      <c r="A10" t="inlineStr">
        <is>
          <t>9</t>
        </is>
      </c>
      <c r="B10" s="2" t="inlineStr">
        <is>
          <t>After reopening the .xlsm, choose Enable Content/Enable Macros if prompted and test the macros.</t>
        </is>
      </c>
    </row>
    <row r="11">
      <c r="A11" t="inlineStr">
        <is>
          <t>10</t>
        </is>
      </c>
      <c r="B11" s="2" t="inlineStr">
        <is>
          <t>For the Power Query task, the provided macro uses ThisWorkbook.RefreshAll. The exact refresh behavior depends on whether the workbook has an actual Power Query connection.</t>
        </is>
      </c>
    </row>
    <row r="12">
      <c r="A12" t="inlineStr">
        <is>
          <t>11</t>
        </is>
      </c>
      <c r="B12" s="2" t="inlineStr">
        <is>
          <t>For the Zomato PDF task, run Export_Zomato_PDF. It saves to the Windows Desktop as Zomato_Sales_Dashboard.pdf.</t>
        </is>
      </c>
    </row>
    <row r="13">
      <c r="A13" t="inlineStr">
        <is>
          <t>12</t>
        </is>
      </c>
      <c r="B13" s="2" t="inlineStr">
        <is>
          <t>For the ChatGPT/Copilot task, the exact prompt is stored in 17_Prompt_Used.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3" customWidth="1" min="3" max="3"/>
    <col width="15" customWidth="1" min="4" max="4"/>
    <col width="18" customWidth="1" min="5" max="5"/>
    <col width="21" customWidth="1" min="6" max="6"/>
    <col width="17" customWidth="1" min="7" max="7"/>
    <col width="11" customWidth="1" min="8" max="8"/>
  </cols>
  <sheetData>
    <row r="1">
      <c r="A1" s="1" t="inlineStr">
        <is>
          <t>Order ID</t>
        </is>
      </c>
      <c r="B1" s="1" t="inlineStr">
        <is>
          <t>Restaurant ID</t>
        </is>
      </c>
      <c r="C1" s="1" t="inlineStr">
        <is>
          <t>City</t>
        </is>
      </c>
      <c r="D1" s="1" t="inlineStr">
        <is>
          <t>Delivery Date</t>
        </is>
      </c>
      <c r="E1" s="1" t="inlineStr">
        <is>
          <t>Delivery Partner</t>
        </is>
      </c>
      <c r="F1" s="1" t="inlineStr">
        <is>
          <t>Delivery Time (min)</t>
        </is>
      </c>
      <c r="G1" s="1" t="inlineStr">
        <is>
          <t>Delivery Charge</t>
        </is>
      </c>
      <c r="H1" s="1" t="inlineStr">
        <is>
          <t>Status</t>
        </is>
      </c>
    </row>
    <row r="2">
      <c r="A2" t="inlineStr">
        <is>
          <t>ORD0001</t>
        </is>
      </c>
      <c r="B2" t="n">
        <v>1003</v>
      </c>
      <c r="C2" t="inlineStr">
        <is>
          <t>Surat</t>
        </is>
      </c>
      <c r="D2" t="inlineStr">
        <is>
          <t>01-08-2026</t>
        </is>
      </c>
      <c r="F2" t="n">
        <v>29</v>
      </c>
      <c r="G2" t="n">
        <v>257.61</v>
      </c>
      <c r="H2" t="inlineStr">
        <is>
          <t>Delivered</t>
        </is>
      </c>
    </row>
    <row r="3">
      <c r="A3" t="inlineStr">
        <is>
          <t>ORD0002</t>
        </is>
      </c>
      <c r="B3" t="n">
        <v>1002</v>
      </c>
      <c r="C3" t="inlineStr">
        <is>
          <t>Surat</t>
        </is>
      </c>
      <c r="D3" t="inlineStr">
        <is>
          <t>09-08-2026</t>
        </is>
      </c>
      <c r="E3" t="inlineStr">
        <is>
          <t>Rahul</t>
        </is>
      </c>
      <c r="F3" t="n">
        <v>38</v>
      </c>
      <c r="G3" t="n">
        <v>342.59</v>
      </c>
      <c r="H3" t="inlineStr">
        <is>
          <t>Delivered</t>
        </is>
      </c>
    </row>
    <row r="4">
      <c r="A4" t="inlineStr">
        <is>
          <t>ORD0003</t>
        </is>
      </c>
      <c r="B4" t="n">
        <v>1009</v>
      </c>
      <c r="C4" t="inlineStr">
        <is>
          <t>Rajkot</t>
        </is>
      </c>
      <c r="D4" t="inlineStr">
        <is>
          <t>23-08-2026</t>
        </is>
      </c>
      <c r="E4" t="inlineStr">
        <is>
          <t>Rahul</t>
        </is>
      </c>
      <c r="F4" t="n">
        <v>54</v>
      </c>
      <c r="G4" t="n">
        <v>313.22</v>
      </c>
      <c r="H4" t="inlineStr">
        <is>
          <t>Delivered</t>
        </is>
      </c>
    </row>
    <row r="5">
      <c r="A5" t="inlineStr">
        <is>
          <t>ORD0004</t>
        </is>
      </c>
      <c r="B5" t="n">
        <v>1005</v>
      </c>
      <c r="C5" t="inlineStr">
        <is>
          <t>Rajkot</t>
        </is>
      </c>
      <c r="D5" t="inlineStr">
        <is>
          <t>07-08-2026</t>
        </is>
      </c>
      <c r="E5" t="inlineStr">
        <is>
          <t>Neha</t>
        </is>
      </c>
      <c r="F5" t="n">
        <v>25</v>
      </c>
      <c r="G5" t="n">
        <v>220.68</v>
      </c>
      <c r="H5" t="inlineStr">
        <is>
          <t>Delivered</t>
        </is>
      </c>
    </row>
    <row r="6">
      <c r="A6" t="inlineStr">
        <is>
          <t>ORD0005</t>
        </is>
      </c>
      <c r="B6" t="n">
        <v>1006</v>
      </c>
      <c r="C6" t="inlineStr">
        <is>
          <t>Gandhinagar</t>
        </is>
      </c>
      <c r="D6" t="inlineStr">
        <is>
          <t>11-08-2026</t>
        </is>
      </c>
      <c r="E6" t="inlineStr">
        <is>
          <t>Karan</t>
        </is>
      </c>
      <c r="F6" t="n">
        <v>29</v>
      </c>
      <c r="G6" t="n">
        <v>336.58</v>
      </c>
      <c r="H6" t="inlineStr">
        <is>
          <t>Delivered</t>
        </is>
      </c>
    </row>
    <row r="7">
      <c r="A7" t="inlineStr">
        <is>
          <t>ORD0006</t>
        </is>
      </c>
      <c r="B7" t="n">
        <v>1009</v>
      </c>
      <c r="C7" t="inlineStr">
        <is>
          <t>Surat</t>
        </is>
      </c>
      <c r="D7" t="inlineStr">
        <is>
          <t>09-08-2026</t>
        </is>
      </c>
      <c r="E7" t="inlineStr">
        <is>
          <t>Karan</t>
        </is>
      </c>
      <c r="F7" t="n">
        <v>29</v>
      </c>
      <c r="G7" t="n">
        <v>173.89</v>
      </c>
      <c r="H7" t="inlineStr">
        <is>
          <t>Delivered</t>
        </is>
      </c>
    </row>
    <row r="8">
      <c r="A8" t="inlineStr">
        <is>
          <t>ORD0007</t>
        </is>
      </c>
      <c r="B8" t="n">
        <v>1009</v>
      </c>
      <c r="C8" t="inlineStr">
        <is>
          <t>Ahmedabad</t>
        </is>
      </c>
      <c r="D8" t="inlineStr">
        <is>
          <t>14-08-2026</t>
        </is>
      </c>
      <c r="E8" t="inlineStr">
        <is>
          <t>Karan</t>
        </is>
      </c>
      <c r="F8" t="n">
        <v>50</v>
      </c>
      <c r="G8" t="n">
        <v>128.13</v>
      </c>
      <c r="H8" t="inlineStr">
        <is>
          <t>Cancelled</t>
        </is>
      </c>
    </row>
    <row r="9">
      <c r="A9" t="inlineStr">
        <is>
          <t>ORD0008</t>
        </is>
      </c>
      <c r="B9" t="n">
        <v>1007</v>
      </c>
      <c r="C9" t="inlineStr">
        <is>
          <t>Surat</t>
        </is>
      </c>
      <c r="D9" t="inlineStr">
        <is>
          <t>10-08-2026</t>
        </is>
      </c>
      <c r="E9" t="inlineStr">
        <is>
          <t>Mehul</t>
        </is>
      </c>
      <c r="F9" t="n">
        <v>43</v>
      </c>
      <c r="G9" t="n">
        <v>220.6</v>
      </c>
      <c r="H9" t="inlineStr">
        <is>
          <t>Delivered</t>
        </is>
      </c>
    </row>
    <row r="10">
      <c r="A10" t="inlineStr">
        <is>
          <t>ORD0009</t>
        </is>
      </c>
      <c r="B10" t="n">
        <v>1010</v>
      </c>
      <c r="C10" t="inlineStr">
        <is>
          <t>Gandhinagar</t>
        </is>
      </c>
      <c r="D10" t="inlineStr">
        <is>
          <t>18-08-2026</t>
        </is>
      </c>
      <c r="E10" t="inlineStr">
        <is>
          <t>Sneha</t>
        </is>
      </c>
      <c r="F10" t="n">
        <v>51</v>
      </c>
      <c r="G10" t="n">
        <v>172.48</v>
      </c>
      <c r="H10" t="inlineStr">
        <is>
          <t>Delivered</t>
        </is>
      </c>
    </row>
    <row r="11">
      <c r="A11" t="inlineStr">
        <is>
          <t>ORD0010</t>
        </is>
      </c>
      <c r="B11" t="n">
        <v>1008</v>
      </c>
      <c r="C11" t="inlineStr">
        <is>
          <t>Vadodara</t>
        </is>
      </c>
      <c r="D11" t="inlineStr">
        <is>
          <t>04-08-2026</t>
        </is>
      </c>
      <c r="E11" t="inlineStr">
        <is>
          <t>Sneha</t>
        </is>
      </c>
      <c r="F11" t="n">
        <v>43</v>
      </c>
      <c r="G11" t="n">
        <v>58</v>
      </c>
      <c r="H11" t="inlineStr">
        <is>
          <t>Delivered</t>
        </is>
      </c>
    </row>
    <row r="12">
      <c r="A12" t="inlineStr">
        <is>
          <t>ORD0011</t>
        </is>
      </c>
      <c r="B12" t="n">
        <v>1009</v>
      </c>
      <c r="C12" t="inlineStr">
        <is>
          <t>Surat</t>
        </is>
      </c>
      <c r="D12" t="inlineStr">
        <is>
          <t>13-08-2026</t>
        </is>
      </c>
      <c r="E12" t="inlineStr">
        <is>
          <t>Rahul</t>
        </is>
      </c>
      <c r="F12" t="n">
        <v>24</v>
      </c>
      <c r="G12" t="n">
        <v>182.28</v>
      </c>
      <c r="H12" t="inlineStr">
        <is>
          <t>Delivered</t>
        </is>
      </c>
    </row>
    <row r="13">
      <c r="A13" t="inlineStr">
        <is>
          <t>ORD0012</t>
        </is>
      </c>
      <c r="B13" t="n">
        <v>1003</v>
      </c>
      <c r="C13" t="inlineStr">
        <is>
          <t>Ahmedabad</t>
        </is>
      </c>
      <c r="D13" t="inlineStr">
        <is>
          <t>18-08-2026</t>
        </is>
      </c>
      <c r="E13" t="inlineStr">
        <is>
          <t>Sneha</t>
        </is>
      </c>
      <c r="F13" t="n">
        <v>40</v>
      </c>
      <c r="G13" t="n">
        <v>95.45</v>
      </c>
      <c r="H13" t="inlineStr">
        <is>
          <t>Delivered</t>
        </is>
      </c>
    </row>
    <row r="14">
      <c r="A14" t="inlineStr">
        <is>
          <t>ORD0013</t>
        </is>
      </c>
      <c r="B14" t="n">
        <v>1004</v>
      </c>
      <c r="C14" t="inlineStr">
        <is>
          <t>Rajkot</t>
        </is>
      </c>
      <c r="D14" t="inlineStr">
        <is>
          <t>02-08-2026</t>
        </is>
      </c>
      <c r="E14" t="inlineStr">
        <is>
          <t>Amit</t>
        </is>
      </c>
      <c r="F14" t="n">
        <v>52</v>
      </c>
      <c r="G14" t="n">
        <v>81.72</v>
      </c>
      <c r="H14" t="inlineStr">
        <is>
          <t>Delivered</t>
        </is>
      </c>
    </row>
    <row r="15">
      <c r="A15" t="inlineStr">
        <is>
          <t>ORD0014</t>
        </is>
      </c>
      <c r="B15" t="n">
        <v>1002</v>
      </c>
      <c r="C15" t="inlineStr">
        <is>
          <t>Ahmedabad</t>
        </is>
      </c>
      <c r="D15" t="inlineStr">
        <is>
          <t>07-08-2026</t>
        </is>
      </c>
      <c r="E15" t="inlineStr">
        <is>
          <t>Sneha</t>
        </is>
      </c>
      <c r="F15" t="n">
        <v>25</v>
      </c>
      <c r="G15" t="n">
        <v>296.71</v>
      </c>
      <c r="H15" t="inlineStr">
        <is>
          <t>Cancelled</t>
        </is>
      </c>
    </row>
    <row r="16">
      <c r="A16" t="inlineStr">
        <is>
          <t>ORD0015</t>
        </is>
      </c>
      <c r="B16" t="n">
        <v>1001</v>
      </c>
      <c r="C16" t="inlineStr">
        <is>
          <t>Ahmedabad</t>
        </is>
      </c>
      <c r="D16" t="inlineStr">
        <is>
          <t>16-08-2026</t>
        </is>
      </c>
      <c r="E16" t="inlineStr">
        <is>
          <t>Neha</t>
        </is>
      </c>
      <c r="F16" t="n">
        <v>55</v>
      </c>
      <c r="G16" t="n">
        <v>128.1</v>
      </c>
      <c r="H16" t="inlineStr">
        <is>
          <t>Cancelled</t>
        </is>
      </c>
    </row>
    <row r="17">
      <c r="A17" t="inlineStr">
        <is>
          <t>ORD0016</t>
        </is>
      </c>
      <c r="B17" t="n">
        <v>1008</v>
      </c>
      <c r="C17" t="inlineStr">
        <is>
          <t>Ahmedabad</t>
        </is>
      </c>
      <c r="D17" t="inlineStr">
        <is>
          <t>21-08-2026</t>
        </is>
      </c>
      <c r="E17" t="inlineStr">
        <is>
          <t>Mehul</t>
        </is>
      </c>
      <c r="F17" t="n">
        <v>25</v>
      </c>
      <c r="G17" t="n">
        <v>294.14</v>
      </c>
      <c r="H17" t="inlineStr">
        <is>
          <t>Delivered</t>
        </is>
      </c>
    </row>
    <row r="18">
      <c r="A18" t="inlineStr">
        <is>
          <t>ORD0017</t>
        </is>
      </c>
      <c r="B18" t="n">
        <v>1002</v>
      </c>
      <c r="C18" t="inlineStr">
        <is>
          <t>Ahmedabad</t>
        </is>
      </c>
      <c r="D18" t="inlineStr">
        <is>
          <t>06-08-2026</t>
        </is>
      </c>
      <c r="E18" t="inlineStr">
        <is>
          <t>Mehul</t>
        </is>
      </c>
      <c r="F18" t="n">
        <v>22</v>
      </c>
      <c r="G18" t="n">
        <v>145.58</v>
      </c>
      <c r="H18" t="inlineStr">
        <is>
          <t>Delivered</t>
        </is>
      </c>
    </row>
    <row r="19">
      <c r="A19" t="inlineStr">
        <is>
          <t>ORD0018</t>
        </is>
      </c>
      <c r="B19" t="n">
        <v>1010</v>
      </c>
      <c r="C19" t="inlineStr">
        <is>
          <t>Rajkot</t>
        </is>
      </c>
      <c r="D19" t="inlineStr">
        <is>
          <t>23-08-2026</t>
        </is>
      </c>
      <c r="E19" t="inlineStr">
        <is>
          <t>Karan</t>
        </is>
      </c>
      <c r="F19" t="n">
        <v>29</v>
      </c>
      <c r="G19" t="n">
        <v>52.98</v>
      </c>
      <c r="H19" t="inlineStr">
        <is>
          <t>Delivered</t>
        </is>
      </c>
    </row>
    <row r="20">
      <c r="A20" t="inlineStr">
        <is>
          <t>ORD0019</t>
        </is>
      </c>
      <c r="B20" t="n">
        <v>1006</v>
      </c>
      <c r="C20" t="inlineStr">
        <is>
          <t>Ahmedabad</t>
        </is>
      </c>
      <c r="D20" t="inlineStr">
        <is>
          <t>07-08-2026</t>
        </is>
      </c>
      <c r="E20" t="inlineStr">
        <is>
          <t>Karan</t>
        </is>
      </c>
      <c r="F20" t="n">
        <v>49</v>
      </c>
      <c r="G20" t="n">
        <v>308.52</v>
      </c>
      <c r="H20" t="inlineStr">
        <is>
          <t>Delivered</t>
        </is>
      </c>
    </row>
    <row r="21">
      <c r="A21" t="inlineStr">
        <is>
          <t>ORD0020</t>
        </is>
      </c>
      <c r="B21" t="n">
        <v>1001</v>
      </c>
      <c r="C21" t="inlineStr">
        <is>
          <t>Vadodara</t>
        </is>
      </c>
      <c r="D21" t="inlineStr">
        <is>
          <t>25-08-2026</t>
        </is>
      </c>
      <c r="E21" t="inlineStr">
        <is>
          <t>Amit</t>
        </is>
      </c>
      <c r="F21" t="n">
        <v>55</v>
      </c>
      <c r="G21" t="n">
        <v>185.69</v>
      </c>
      <c r="H21" t="inlineStr">
        <is>
          <t>Delivered</t>
        </is>
      </c>
    </row>
    <row r="22">
      <c r="A22" t="inlineStr">
        <is>
          <t>ORD0021</t>
        </is>
      </c>
      <c r="B22" t="n">
        <v>1007</v>
      </c>
      <c r="C22" t="inlineStr">
        <is>
          <t>Vadodara</t>
        </is>
      </c>
      <c r="D22" t="inlineStr">
        <is>
          <t>04-08-2026</t>
        </is>
      </c>
      <c r="E22" t="inlineStr">
        <is>
          <t>Neha</t>
        </is>
      </c>
      <c r="F22" t="n">
        <v>20</v>
      </c>
      <c r="G22" t="n">
        <v>113.69</v>
      </c>
      <c r="H22" t="inlineStr">
        <is>
          <t>Delivered</t>
        </is>
      </c>
    </row>
    <row r="23">
      <c r="A23" t="inlineStr">
        <is>
          <t>ORD0022</t>
        </is>
      </c>
      <c r="B23" t="n">
        <v>1004</v>
      </c>
      <c r="C23" t="inlineStr">
        <is>
          <t>Surat</t>
        </is>
      </c>
      <c r="D23" t="inlineStr">
        <is>
          <t>25-08-2026</t>
        </is>
      </c>
      <c r="F23" t="n">
        <v>42</v>
      </c>
      <c r="G23" t="n">
        <v>55.23</v>
      </c>
      <c r="H23" t="inlineStr">
        <is>
          <t>Cancelled</t>
        </is>
      </c>
    </row>
    <row r="24">
      <c r="A24" t="inlineStr">
        <is>
          <t>ORD0023</t>
        </is>
      </c>
      <c r="B24" t="n">
        <v>1008</v>
      </c>
      <c r="C24" t="inlineStr">
        <is>
          <t>Vadodara</t>
        </is>
      </c>
      <c r="D24" t="inlineStr">
        <is>
          <t>08-08-2026</t>
        </is>
      </c>
      <c r="E24" t="inlineStr">
        <is>
          <t>Priya</t>
        </is>
      </c>
      <c r="F24" t="n">
        <v>25</v>
      </c>
      <c r="G24" t="n">
        <v>122.55</v>
      </c>
      <c r="H24" t="inlineStr">
        <is>
          <t>Delivered</t>
        </is>
      </c>
    </row>
    <row r="25">
      <c r="A25" t="inlineStr">
        <is>
          <t>ORD0024</t>
        </is>
      </c>
      <c r="B25" t="n">
        <v>1010</v>
      </c>
      <c r="C25" t="inlineStr">
        <is>
          <t>Surat</t>
        </is>
      </c>
      <c r="D25" t="inlineStr">
        <is>
          <t>06-08-2026</t>
        </is>
      </c>
      <c r="E25" t="inlineStr">
        <is>
          <t>Mehul</t>
        </is>
      </c>
      <c r="F25" t="n">
        <v>21</v>
      </c>
      <c r="G25" t="n">
        <v>49.29</v>
      </c>
      <c r="H25" t="inlineStr">
        <is>
          <t>Delivered</t>
        </is>
      </c>
    </row>
    <row r="26">
      <c r="A26" t="inlineStr">
        <is>
          <t>ORD0025</t>
        </is>
      </c>
      <c r="B26" t="n">
        <v>1010</v>
      </c>
      <c r="C26" t="inlineStr">
        <is>
          <t>Vadodara</t>
        </is>
      </c>
      <c r="D26" t="inlineStr">
        <is>
          <t>02-08-2026</t>
        </is>
      </c>
      <c r="F26" t="n">
        <v>19</v>
      </c>
      <c r="G26" t="n">
        <v>125.89</v>
      </c>
      <c r="H26" t="inlineStr">
        <is>
          <t>Delivered</t>
        </is>
      </c>
    </row>
    <row r="27">
      <c r="A27" t="inlineStr">
        <is>
          <t>ORD0026</t>
        </is>
      </c>
      <c r="B27" t="n">
        <v>1004</v>
      </c>
      <c r="C27" t="inlineStr">
        <is>
          <t>Rajkot</t>
        </is>
      </c>
      <c r="D27" t="inlineStr">
        <is>
          <t>28-08-2026</t>
        </is>
      </c>
      <c r="E27" t="inlineStr">
        <is>
          <t>Priya</t>
        </is>
      </c>
      <c r="F27" t="n">
        <v>46</v>
      </c>
      <c r="G27" t="n">
        <v>205.71</v>
      </c>
      <c r="H27" t="inlineStr">
        <is>
          <t>Delivered</t>
        </is>
      </c>
    </row>
    <row r="28">
      <c r="A28" t="inlineStr">
        <is>
          <t>ORD0027</t>
        </is>
      </c>
      <c r="B28" t="n">
        <v>1006</v>
      </c>
      <c r="C28" t="inlineStr">
        <is>
          <t>Vadodara</t>
        </is>
      </c>
      <c r="D28" t="inlineStr">
        <is>
          <t>09-08-2026</t>
        </is>
      </c>
      <c r="E28" t="inlineStr">
        <is>
          <t>Rahul</t>
        </is>
      </c>
      <c r="F28" t="n">
        <v>42</v>
      </c>
      <c r="G28" t="n">
        <v>228.59</v>
      </c>
      <c r="H28" t="inlineStr">
        <is>
          <t>Delivered</t>
        </is>
      </c>
    </row>
    <row r="29">
      <c r="A29" t="inlineStr">
        <is>
          <t>ORD0028</t>
        </is>
      </c>
      <c r="B29" t="n">
        <v>1003</v>
      </c>
      <c r="C29" t="inlineStr">
        <is>
          <t>Gandhinagar</t>
        </is>
      </c>
      <c r="D29" t="inlineStr">
        <is>
          <t>18-08-2026</t>
        </is>
      </c>
      <c r="E29" t="inlineStr">
        <is>
          <t>Mehul</t>
        </is>
      </c>
      <c r="F29" t="n">
        <v>35</v>
      </c>
      <c r="G29" t="n">
        <v>303.04</v>
      </c>
      <c r="H29" t="inlineStr">
        <is>
          <t>Delivered</t>
        </is>
      </c>
    </row>
    <row r="30">
      <c r="A30" t="inlineStr">
        <is>
          <t>ORD0029</t>
        </is>
      </c>
      <c r="B30" t="n">
        <v>1004</v>
      </c>
      <c r="C30" t="inlineStr">
        <is>
          <t>Vadodara</t>
        </is>
      </c>
      <c r="D30" t="inlineStr">
        <is>
          <t>09-08-2026</t>
        </is>
      </c>
      <c r="E30" t="inlineStr">
        <is>
          <t>Neha</t>
        </is>
      </c>
      <c r="F30" t="n">
        <v>40</v>
      </c>
      <c r="G30" t="n">
        <v>300</v>
      </c>
      <c r="H30" t="inlineStr">
        <is>
          <t>Cancelled</t>
        </is>
      </c>
    </row>
    <row r="31">
      <c r="A31" t="inlineStr">
        <is>
          <t>ORD0030</t>
        </is>
      </c>
      <c r="B31" t="n">
        <v>1008</v>
      </c>
      <c r="C31" t="inlineStr">
        <is>
          <t>Surat</t>
        </is>
      </c>
      <c r="D31" t="inlineStr">
        <is>
          <t>18-08-2026</t>
        </is>
      </c>
      <c r="E31" t="inlineStr">
        <is>
          <t>Priya</t>
        </is>
      </c>
      <c r="F31" t="n">
        <v>49</v>
      </c>
      <c r="G31" t="n">
        <v>165.77</v>
      </c>
      <c r="H31" t="inlineStr">
        <is>
          <t>Delivered</t>
        </is>
      </c>
    </row>
    <row r="32">
      <c r="A32" t="inlineStr">
        <is>
          <t>ORD0031</t>
        </is>
      </c>
      <c r="B32" t="n">
        <v>1007</v>
      </c>
      <c r="C32" t="inlineStr">
        <is>
          <t>Gandhinagar</t>
        </is>
      </c>
      <c r="D32" t="inlineStr">
        <is>
          <t>07-08-2026</t>
        </is>
      </c>
      <c r="E32" t="inlineStr">
        <is>
          <t>Neha</t>
        </is>
      </c>
      <c r="F32" t="n">
        <v>23</v>
      </c>
      <c r="G32" t="n">
        <v>55.69</v>
      </c>
      <c r="H32" t="inlineStr">
        <is>
          <t>Cancelled</t>
        </is>
      </c>
    </row>
    <row r="33">
      <c r="A33" t="inlineStr">
        <is>
          <t>ORD0032</t>
        </is>
      </c>
      <c r="B33" t="n">
        <v>1006</v>
      </c>
      <c r="C33" t="inlineStr">
        <is>
          <t>Surat</t>
        </is>
      </c>
      <c r="D33" t="inlineStr">
        <is>
          <t>02-08-2026</t>
        </is>
      </c>
      <c r="E33" t="inlineStr">
        <is>
          <t>Neha</t>
        </is>
      </c>
      <c r="F33" t="n">
        <v>30</v>
      </c>
      <c r="G33" t="n">
        <v>212.88</v>
      </c>
      <c r="H33" t="inlineStr">
        <is>
          <t>Delivered</t>
        </is>
      </c>
    </row>
    <row r="34">
      <c r="A34" t="inlineStr">
        <is>
          <t>ORD0033</t>
        </is>
      </c>
      <c r="B34" t="n">
        <v>1009</v>
      </c>
      <c r="C34" t="inlineStr">
        <is>
          <t>Vadodara</t>
        </is>
      </c>
      <c r="D34" t="inlineStr">
        <is>
          <t>25-08-2026</t>
        </is>
      </c>
      <c r="E34" t="inlineStr">
        <is>
          <t>Rahul</t>
        </is>
      </c>
      <c r="F34" t="n">
        <v>25</v>
      </c>
      <c r="G34" t="n">
        <v>334.05</v>
      </c>
      <c r="H34" t="inlineStr">
        <is>
          <t>Delivered</t>
        </is>
      </c>
    </row>
    <row r="35">
      <c r="A35" t="inlineStr">
        <is>
          <t>ORD0034</t>
        </is>
      </c>
      <c r="B35" t="n">
        <v>1002</v>
      </c>
      <c r="C35" t="inlineStr">
        <is>
          <t>Ahmedabad</t>
        </is>
      </c>
      <c r="D35" t="inlineStr">
        <is>
          <t>19-08-2026</t>
        </is>
      </c>
      <c r="E35" t="inlineStr">
        <is>
          <t>Amit</t>
        </is>
      </c>
      <c r="F35" t="n">
        <v>29</v>
      </c>
      <c r="G35" t="n">
        <v>119.88</v>
      </c>
      <c r="H35" t="inlineStr">
        <is>
          <t>Delivered</t>
        </is>
      </c>
    </row>
    <row r="36">
      <c r="A36" t="inlineStr">
        <is>
          <t>ORD0035</t>
        </is>
      </c>
      <c r="B36" t="n">
        <v>1006</v>
      </c>
      <c r="C36" t="inlineStr">
        <is>
          <t>Rajkot</t>
        </is>
      </c>
      <c r="D36" t="inlineStr">
        <is>
          <t>19-08-2026</t>
        </is>
      </c>
      <c r="E36" t="inlineStr">
        <is>
          <t>Mehul</t>
        </is>
      </c>
      <c r="F36" t="n">
        <v>38</v>
      </c>
      <c r="G36" t="n">
        <v>340.85</v>
      </c>
      <c r="H36" t="inlineStr">
        <is>
          <t>Delivered</t>
        </is>
      </c>
    </row>
    <row r="37">
      <c r="A37" t="inlineStr">
        <is>
          <t>ORD0036</t>
        </is>
      </c>
      <c r="B37" t="n">
        <v>1004</v>
      </c>
      <c r="C37" t="inlineStr">
        <is>
          <t>Gandhinagar</t>
        </is>
      </c>
      <c r="D37" t="inlineStr">
        <is>
          <t>21-08-2026</t>
        </is>
      </c>
      <c r="E37" t="inlineStr">
        <is>
          <t>Mehul</t>
        </is>
      </c>
      <c r="F37" t="n">
        <v>36</v>
      </c>
      <c r="G37" t="n">
        <v>41.05</v>
      </c>
      <c r="H37" t="inlineStr">
        <is>
          <t>Delivered</t>
        </is>
      </c>
    </row>
    <row r="38">
      <c r="A38" t="inlineStr">
        <is>
          <t>ORD0037</t>
        </is>
      </c>
      <c r="B38" t="n">
        <v>1001</v>
      </c>
      <c r="C38" t="inlineStr">
        <is>
          <t>Ahmedabad</t>
        </is>
      </c>
      <c r="D38" t="inlineStr">
        <is>
          <t>30-08-2026</t>
        </is>
      </c>
      <c r="E38" t="inlineStr">
        <is>
          <t>Mehul</t>
        </is>
      </c>
      <c r="F38" t="n">
        <v>37</v>
      </c>
      <c r="G38" t="n">
        <v>315.59</v>
      </c>
      <c r="H38" t="inlineStr">
        <is>
          <t>Delivered</t>
        </is>
      </c>
    </row>
    <row r="39">
      <c r="A39" t="inlineStr">
        <is>
          <t>ORD0038</t>
        </is>
      </c>
      <c r="B39" t="n">
        <v>1002</v>
      </c>
      <c r="C39" t="inlineStr">
        <is>
          <t>Ahmedabad</t>
        </is>
      </c>
      <c r="D39" t="inlineStr">
        <is>
          <t>30-08-2026</t>
        </is>
      </c>
      <c r="F39" t="n">
        <v>39</v>
      </c>
      <c r="G39" t="n">
        <v>324.84</v>
      </c>
      <c r="H39" t="inlineStr">
        <is>
          <t>Delivered</t>
        </is>
      </c>
    </row>
    <row r="40">
      <c r="A40" t="inlineStr">
        <is>
          <t>ORD0039</t>
        </is>
      </c>
      <c r="B40" t="n">
        <v>1008</v>
      </c>
      <c r="C40" t="inlineStr">
        <is>
          <t>Vadodara</t>
        </is>
      </c>
      <c r="D40" t="inlineStr">
        <is>
          <t>14-08-2026</t>
        </is>
      </c>
      <c r="E40" t="inlineStr">
        <is>
          <t>Sneha</t>
        </is>
      </c>
      <c r="F40" t="n">
        <v>40</v>
      </c>
      <c r="G40" t="n">
        <v>83.33</v>
      </c>
      <c r="H40" t="inlineStr">
        <is>
          <t>Cancelled</t>
        </is>
      </c>
    </row>
    <row r="41">
      <c r="A41" t="inlineStr">
        <is>
          <t>ORD0040</t>
        </is>
      </c>
      <c r="B41" t="n">
        <v>1005</v>
      </c>
      <c r="C41" t="inlineStr">
        <is>
          <t>Surat</t>
        </is>
      </c>
      <c r="D41" t="inlineStr">
        <is>
          <t>18-08-2026</t>
        </is>
      </c>
      <c r="E41" t="inlineStr">
        <is>
          <t>Priya</t>
        </is>
      </c>
      <c r="F41" t="n">
        <v>41</v>
      </c>
      <c r="G41" t="n">
        <v>320.1</v>
      </c>
      <c r="H41" t="inlineStr">
        <is>
          <t>Cancelled</t>
        </is>
      </c>
    </row>
    <row r="42">
      <c r="A42" t="inlineStr">
        <is>
          <t>ORD0041</t>
        </is>
      </c>
      <c r="B42" t="n">
        <v>1005</v>
      </c>
      <c r="C42" t="inlineStr">
        <is>
          <t>Gandhinagar</t>
        </is>
      </c>
      <c r="D42" t="inlineStr">
        <is>
          <t>18-08-2026</t>
        </is>
      </c>
      <c r="E42" t="inlineStr">
        <is>
          <t>Priya</t>
        </is>
      </c>
      <c r="F42" t="n">
        <v>23</v>
      </c>
      <c r="G42" t="n">
        <v>79.73999999999999</v>
      </c>
      <c r="H42" t="inlineStr">
        <is>
          <t>Delivered</t>
        </is>
      </c>
    </row>
    <row r="43">
      <c r="A43" t="inlineStr">
        <is>
          <t>ORD0042</t>
        </is>
      </c>
      <c r="B43" t="n">
        <v>1005</v>
      </c>
      <c r="C43" t="inlineStr">
        <is>
          <t>Gandhinagar</t>
        </is>
      </c>
      <c r="D43" t="inlineStr">
        <is>
          <t>05-08-2026</t>
        </is>
      </c>
      <c r="F43" t="n">
        <v>21</v>
      </c>
      <c r="G43" t="n">
        <v>119.73</v>
      </c>
      <c r="H43" t="inlineStr">
        <is>
          <t>Delivered</t>
        </is>
      </c>
    </row>
    <row r="44">
      <c r="A44" t="inlineStr">
        <is>
          <t>ORD0043</t>
        </is>
      </c>
      <c r="B44" t="n">
        <v>1003</v>
      </c>
      <c r="C44" t="inlineStr">
        <is>
          <t>Ahmedabad</t>
        </is>
      </c>
      <c r="D44" t="inlineStr">
        <is>
          <t>18-08-2026</t>
        </is>
      </c>
      <c r="F44" t="n">
        <v>38</v>
      </c>
      <c r="G44" t="n">
        <v>288.43</v>
      </c>
      <c r="H44" t="inlineStr">
        <is>
          <t>Cancelled</t>
        </is>
      </c>
    </row>
    <row r="45">
      <c r="A45" t="inlineStr">
        <is>
          <t>ORD0044</t>
        </is>
      </c>
      <c r="B45" t="n">
        <v>1002</v>
      </c>
      <c r="C45" t="inlineStr">
        <is>
          <t>Vadodara</t>
        </is>
      </c>
      <c r="D45" t="inlineStr">
        <is>
          <t>07-08-2026</t>
        </is>
      </c>
      <c r="E45" t="inlineStr">
        <is>
          <t>Sneha</t>
        </is>
      </c>
      <c r="F45" t="n">
        <v>26</v>
      </c>
      <c r="G45" t="n">
        <v>323.5</v>
      </c>
      <c r="H45" t="inlineStr">
        <is>
          <t>Cancelled</t>
        </is>
      </c>
    </row>
    <row r="46">
      <c r="A46" t="inlineStr">
        <is>
          <t>ORD0045</t>
        </is>
      </c>
      <c r="B46" t="n">
        <v>1007</v>
      </c>
      <c r="C46" t="inlineStr">
        <is>
          <t>Gandhinagar</t>
        </is>
      </c>
      <c r="D46" t="inlineStr">
        <is>
          <t>02-08-2026</t>
        </is>
      </c>
      <c r="E46" t="inlineStr">
        <is>
          <t>Sneha</t>
        </is>
      </c>
      <c r="F46" t="n">
        <v>47</v>
      </c>
      <c r="G46" t="n">
        <v>290.48</v>
      </c>
      <c r="H46" t="inlineStr">
        <is>
          <t>Cancelled</t>
        </is>
      </c>
    </row>
    <row r="47">
      <c r="A47" t="inlineStr">
        <is>
          <t>ORD0046</t>
        </is>
      </c>
      <c r="B47" t="n">
        <v>1006</v>
      </c>
      <c r="C47" t="inlineStr">
        <is>
          <t>Surat</t>
        </is>
      </c>
      <c r="D47" t="inlineStr">
        <is>
          <t>10-08-2026</t>
        </is>
      </c>
      <c r="E47" t="inlineStr">
        <is>
          <t>Rahul</t>
        </is>
      </c>
      <c r="F47" t="n">
        <v>23</v>
      </c>
      <c r="G47" t="n">
        <v>75.76000000000001</v>
      </c>
      <c r="H47" t="inlineStr">
        <is>
          <t>Cancelled</t>
        </is>
      </c>
    </row>
    <row r="48">
      <c r="A48" t="inlineStr">
        <is>
          <t>ORD0047</t>
        </is>
      </c>
      <c r="B48" t="n">
        <v>1002</v>
      </c>
      <c r="C48" t="inlineStr">
        <is>
          <t>Surat</t>
        </is>
      </c>
      <c r="D48" t="inlineStr">
        <is>
          <t>19-08-2026</t>
        </is>
      </c>
      <c r="F48" t="n">
        <v>35</v>
      </c>
      <c r="G48" t="n">
        <v>235.14</v>
      </c>
      <c r="H48" t="inlineStr">
        <is>
          <t>Delivered</t>
        </is>
      </c>
    </row>
    <row r="49">
      <c r="A49" t="inlineStr">
        <is>
          <t>ORD0048</t>
        </is>
      </c>
      <c r="B49" t="n">
        <v>1003</v>
      </c>
      <c r="C49" t="inlineStr">
        <is>
          <t>Gandhinagar</t>
        </is>
      </c>
      <c r="D49" t="inlineStr">
        <is>
          <t>26-08-2026</t>
        </is>
      </c>
      <c r="E49" t="inlineStr">
        <is>
          <t>Karan</t>
        </is>
      </c>
      <c r="F49" t="n">
        <v>52</v>
      </c>
      <c r="G49" t="n">
        <v>114.19</v>
      </c>
      <c r="H49" t="inlineStr">
        <is>
          <t>Delivered</t>
        </is>
      </c>
    </row>
    <row r="50">
      <c r="A50" t="inlineStr">
        <is>
          <t>ORD0049</t>
        </is>
      </c>
      <c r="B50" t="n">
        <v>1006</v>
      </c>
      <c r="C50" t="inlineStr">
        <is>
          <t>Rajkot</t>
        </is>
      </c>
      <c r="D50" t="inlineStr">
        <is>
          <t>15-08-2026</t>
        </is>
      </c>
      <c r="E50" t="inlineStr">
        <is>
          <t>Neha</t>
        </is>
      </c>
      <c r="F50" t="n">
        <v>43</v>
      </c>
      <c r="G50" t="n">
        <v>246.93</v>
      </c>
      <c r="H50" t="inlineStr">
        <is>
          <t>Cancelled</t>
        </is>
      </c>
    </row>
    <row r="51">
      <c r="A51" t="inlineStr">
        <is>
          <t>ORD0050</t>
        </is>
      </c>
      <c r="B51" t="n">
        <v>1009</v>
      </c>
      <c r="C51" t="inlineStr">
        <is>
          <t>Rajkot</t>
        </is>
      </c>
      <c r="D51" t="inlineStr">
        <is>
          <t>09-08-2026</t>
        </is>
      </c>
      <c r="E51" t="inlineStr">
        <is>
          <t>Priya</t>
        </is>
      </c>
      <c r="F51" t="n">
        <v>33</v>
      </c>
      <c r="G51" t="n">
        <v>109.88</v>
      </c>
      <c r="H51" t="inlineStr">
        <is>
          <t>Delivered</t>
        </is>
      </c>
    </row>
    <row r="52">
      <c r="A52" t="inlineStr">
        <is>
          <t>ORD0051</t>
        </is>
      </c>
      <c r="B52" t="n">
        <v>1005</v>
      </c>
      <c r="C52" t="inlineStr">
        <is>
          <t>Gandhinagar</t>
        </is>
      </c>
      <c r="D52" t="inlineStr">
        <is>
          <t>02-08-2026</t>
        </is>
      </c>
      <c r="E52" t="inlineStr">
        <is>
          <t>Priya</t>
        </is>
      </c>
      <c r="F52" t="n">
        <v>53</v>
      </c>
      <c r="G52" t="n">
        <v>114.85</v>
      </c>
      <c r="H52" t="inlineStr">
        <is>
          <t>Cancelled</t>
        </is>
      </c>
    </row>
    <row r="53">
      <c r="A53" t="inlineStr">
        <is>
          <t>ORD0052</t>
        </is>
      </c>
      <c r="B53" t="n">
        <v>1006</v>
      </c>
      <c r="C53" t="inlineStr">
        <is>
          <t>Ahmedabad</t>
        </is>
      </c>
      <c r="D53" t="inlineStr">
        <is>
          <t>19-08-2026</t>
        </is>
      </c>
      <c r="E53" t="inlineStr">
        <is>
          <t>Priya</t>
        </is>
      </c>
      <c r="F53" t="n">
        <v>40</v>
      </c>
      <c r="G53" t="n">
        <v>168.87</v>
      </c>
      <c r="H53" t="inlineStr">
        <is>
          <t>Delivered</t>
        </is>
      </c>
    </row>
    <row r="54">
      <c r="A54" t="inlineStr">
        <is>
          <t>ORD0053</t>
        </is>
      </c>
      <c r="B54" t="n">
        <v>1003</v>
      </c>
      <c r="C54" t="inlineStr">
        <is>
          <t>Ahmedabad</t>
        </is>
      </c>
      <c r="D54" t="inlineStr">
        <is>
          <t>18-08-2026</t>
        </is>
      </c>
      <c r="E54" t="inlineStr">
        <is>
          <t>Karan</t>
        </is>
      </c>
      <c r="F54" t="n">
        <v>24</v>
      </c>
      <c r="G54" t="n">
        <v>79.31</v>
      </c>
      <c r="H54" t="inlineStr">
        <is>
          <t>Delivered</t>
        </is>
      </c>
    </row>
    <row r="55">
      <c r="A55" t="inlineStr">
        <is>
          <t>ORD0054</t>
        </is>
      </c>
      <c r="B55" t="n">
        <v>1007</v>
      </c>
      <c r="C55" t="inlineStr">
        <is>
          <t>Surat</t>
        </is>
      </c>
      <c r="D55" t="inlineStr">
        <is>
          <t>04-08-2026</t>
        </is>
      </c>
      <c r="E55" t="inlineStr">
        <is>
          <t>Mehul</t>
        </is>
      </c>
      <c r="F55" t="n">
        <v>50</v>
      </c>
      <c r="G55" t="n">
        <v>241.19</v>
      </c>
      <c r="H55" t="inlineStr">
        <is>
          <t>Delivered</t>
        </is>
      </c>
    </row>
    <row r="56">
      <c r="A56" t="inlineStr">
        <is>
          <t>ORD0055</t>
        </is>
      </c>
      <c r="B56" t="n">
        <v>1001</v>
      </c>
      <c r="C56" t="inlineStr">
        <is>
          <t>Ahmedabad</t>
        </is>
      </c>
      <c r="D56" t="inlineStr">
        <is>
          <t>06-08-2026</t>
        </is>
      </c>
      <c r="F56" t="n">
        <v>39</v>
      </c>
      <c r="G56" t="n">
        <v>88.92</v>
      </c>
      <c r="H56" t="inlineStr">
        <is>
          <t>Delivered</t>
        </is>
      </c>
    </row>
    <row r="57">
      <c r="A57" t="inlineStr">
        <is>
          <t>ORD0056</t>
        </is>
      </c>
      <c r="B57" t="n">
        <v>1009</v>
      </c>
      <c r="C57" t="inlineStr">
        <is>
          <t>Gandhinagar</t>
        </is>
      </c>
      <c r="D57" t="inlineStr">
        <is>
          <t>06-08-2026</t>
        </is>
      </c>
      <c r="E57" t="inlineStr">
        <is>
          <t>Amit</t>
        </is>
      </c>
      <c r="F57" t="n">
        <v>34</v>
      </c>
      <c r="G57" t="n">
        <v>154.95</v>
      </c>
      <c r="H57" t="inlineStr">
        <is>
          <t>Cancelled</t>
        </is>
      </c>
    </row>
    <row r="58">
      <c r="A58" t="inlineStr">
        <is>
          <t>ORD0057</t>
        </is>
      </c>
      <c r="B58" t="n">
        <v>1003</v>
      </c>
      <c r="C58" t="inlineStr">
        <is>
          <t>Surat</t>
        </is>
      </c>
      <c r="D58" t="inlineStr">
        <is>
          <t>23-08-2026</t>
        </is>
      </c>
      <c r="E58" t="inlineStr">
        <is>
          <t>Amit</t>
        </is>
      </c>
      <c r="F58" t="n">
        <v>50</v>
      </c>
      <c r="G58" t="n">
        <v>247.31</v>
      </c>
      <c r="H58" t="inlineStr">
        <is>
          <t>Cancelled</t>
        </is>
      </c>
    </row>
    <row r="59">
      <c r="A59" t="inlineStr">
        <is>
          <t>ORD0058</t>
        </is>
      </c>
      <c r="B59" t="n">
        <v>1009</v>
      </c>
      <c r="C59" t="inlineStr">
        <is>
          <t>Rajkot</t>
        </is>
      </c>
      <c r="D59" t="inlineStr">
        <is>
          <t>11-08-2026</t>
        </is>
      </c>
      <c r="E59" t="inlineStr">
        <is>
          <t>Mehul</t>
        </is>
      </c>
      <c r="F59" t="n">
        <v>32</v>
      </c>
      <c r="G59" t="n">
        <v>302.65</v>
      </c>
      <c r="H59" t="inlineStr">
        <is>
          <t>Delivered</t>
        </is>
      </c>
    </row>
    <row r="60">
      <c r="A60" t="inlineStr">
        <is>
          <t>ORD0059</t>
        </is>
      </c>
      <c r="B60" t="n">
        <v>1010</v>
      </c>
      <c r="C60" t="inlineStr">
        <is>
          <t>Ahmedabad</t>
        </is>
      </c>
      <c r="D60" t="inlineStr">
        <is>
          <t>12-08-2026</t>
        </is>
      </c>
      <c r="E60" t="inlineStr">
        <is>
          <t>Amit</t>
        </is>
      </c>
      <c r="F60" t="n">
        <v>18</v>
      </c>
      <c r="G60" t="n">
        <v>296.15</v>
      </c>
      <c r="H60" t="inlineStr">
        <is>
          <t>Cancelled</t>
        </is>
      </c>
    </row>
    <row r="61">
      <c r="A61" t="inlineStr">
        <is>
          <t>ORD0060</t>
        </is>
      </c>
      <c r="B61" t="n">
        <v>1006</v>
      </c>
      <c r="C61" t="inlineStr">
        <is>
          <t>Rajkot</t>
        </is>
      </c>
      <c r="D61" t="inlineStr">
        <is>
          <t>25-08-2026</t>
        </is>
      </c>
      <c r="E61" t="inlineStr">
        <is>
          <t>Amit</t>
        </is>
      </c>
      <c r="F61" t="n">
        <v>32</v>
      </c>
      <c r="G61" t="n">
        <v>305.23</v>
      </c>
      <c r="H61" t="inlineStr">
        <is>
          <t>Cancelled</t>
        </is>
      </c>
    </row>
    <row r="62">
      <c r="A62" t="inlineStr">
        <is>
          <t>ORD0061</t>
        </is>
      </c>
      <c r="B62" t="n">
        <v>1005</v>
      </c>
      <c r="C62" t="inlineStr">
        <is>
          <t>Ahmedabad</t>
        </is>
      </c>
      <c r="D62" t="inlineStr">
        <is>
          <t>19-08-2026</t>
        </is>
      </c>
      <c r="E62" t="inlineStr">
        <is>
          <t>Mehul</t>
        </is>
      </c>
      <c r="F62" t="n">
        <v>53</v>
      </c>
      <c r="G62" t="n">
        <v>124.76</v>
      </c>
      <c r="H62" t="inlineStr">
        <is>
          <t>Delivered</t>
        </is>
      </c>
    </row>
    <row r="63">
      <c r="A63" t="inlineStr">
        <is>
          <t>ORD0062</t>
        </is>
      </c>
      <c r="B63" t="n">
        <v>1007</v>
      </c>
      <c r="C63" t="inlineStr">
        <is>
          <t>Gandhinagar</t>
        </is>
      </c>
      <c r="D63" t="inlineStr">
        <is>
          <t>04-08-2026</t>
        </is>
      </c>
      <c r="E63" t="inlineStr">
        <is>
          <t>Rahul</t>
        </is>
      </c>
      <c r="F63" t="n">
        <v>40</v>
      </c>
      <c r="G63" t="n">
        <v>206.79</v>
      </c>
      <c r="H63" t="inlineStr">
        <is>
          <t>Delivered</t>
        </is>
      </c>
    </row>
    <row r="64">
      <c r="A64" t="inlineStr">
        <is>
          <t>ORD0063</t>
        </is>
      </c>
      <c r="B64" t="n">
        <v>1008</v>
      </c>
      <c r="C64" t="inlineStr">
        <is>
          <t>Ahmedabad</t>
        </is>
      </c>
      <c r="D64" t="inlineStr">
        <is>
          <t>15-08-2026</t>
        </is>
      </c>
      <c r="E64" t="inlineStr">
        <is>
          <t>Sneha</t>
        </is>
      </c>
      <c r="F64" t="n">
        <v>45</v>
      </c>
      <c r="G64" t="n">
        <v>62.83</v>
      </c>
      <c r="H64" t="inlineStr">
        <is>
          <t>Delivered</t>
        </is>
      </c>
    </row>
    <row r="65">
      <c r="A65" t="inlineStr">
        <is>
          <t>ORD0064</t>
        </is>
      </c>
      <c r="B65" t="n">
        <v>1008</v>
      </c>
      <c r="C65" t="inlineStr">
        <is>
          <t>Rajkot</t>
        </is>
      </c>
      <c r="D65" t="inlineStr">
        <is>
          <t>07-08-2026</t>
        </is>
      </c>
      <c r="E65" t="inlineStr">
        <is>
          <t>Karan</t>
        </is>
      </c>
      <c r="F65" t="n">
        <v>25</v>
      </c>
      <c r="G65" t="n">
        <v>230.01</v>
      </c>
      <c r="H65" t="inlineStr">
        <is>
          <t>Delivered</t>
        </is>
      </c>
    </row>
    <row r="66">
      <c r="A66" t="inlineStr">
        <is>
          <t>ORD0065</t>
        </is>
      </c>
      <c r="B66" t="n">
        <v>1005</v>
      </c>
      <c r="C66" t="inlineStr">
        <is>
          <t>Ahmedabad</t>
        </is>
      </c>
      <c r="D66" t="inlineStr">
        <is>
          <t>02-08-2026</t>
        </is>
      </c>
      <c r="F66" t="n">
        <v>30</v>
      </c>
      <c r="G66" t="n">
        <v>137.82</v>
      </c>
      <c r="H66" t="inlineStr">
        <is>
          <t>Delivered</t>
        </is>
      </c>
    </row>
    <row r="67">
      <c r="A67" t="inlineStr">
        <is>
          <t>ORD0066</t>
        </is>
      </c>
      <c r="B67" t="n">
        <v>1008</v>
      </c>
      <c r="C67" t="inlineStr">
        <is>
          <t>Surat</t>
        </is>
      </c>
      <c r="D67" t="inlineStr">
        <is>
          <t>06-08-2026</t>
        </is>
      </c>
      <c r="E67" t="inlineStr">
        <is>
          <t>Amit</t>
        </is>
      </c>
      <c r="F67" t="n">
        <v>19</v>
      </c>
      <c r="G67" t="n">
        <v>347.62</v>
      </c>
      <c r="H67" t="inlineStr">
        <is>
          <t>Delivered</t>
        </is>
      </c>
    </row>
    <row r="68">
      <c r="A68" t="inlineStr">
        <is>
          <t>ORD0067</t>
        </is>
      </c>
      <c r="B68" t="n">
        <v>1005</v>
      </c>
      <c r="C68" t="inlineStr">
        <is>
          <t>Rajkot</t>
        </is>
      </c>
      <c r="D68" t="inlineStr">
        <is>
          <t>25-08-2026</t>
        </is>
      </c>
      <c r="F68" t="n">
        <v>35</v>
      </c>
      <c r="G68" t="n">
        <v>135.21</v>
      </c>
      <c r="H68" t="inlineStr">
        <is>
          <t>Delivered</t>
        </is>
      </c>
    </row>
    <row r="69">
      <c r="A69" t="inlineStr">
        <is>
          <t>ORD0068</t>
        </is>
      </c>
      <c r="B69" t="n">
        <v>1005</v>
      </c>
      <c r="C69" t="inlineStr">
        <is>
          <t>Vadodara</t>
        </is>
      </c>
      <c r="D69" t="inlineStr">
        <is>
          <t>10-08-2026</t>
        </is>
      </c>
      <c r="E69" t="inlineStr">
        <is>
          <t>Amit</t>
        </is>
      </c>
      <c r="F69" t="n">
        <v>53</v>
      </c>
      <c r="G69" t="n">
        <v>185.36</v>
      </c>
      <c r="H69" t="inlineStr">
        <is>
          <t>Delivered</t>
        </is>
      </c>
    </row>
    <row r="70">
      <c r="A70" t="inlineStr">
        <is>
          <t>ORD0069</t>
        </is>
      </c>
      <c r="B70" t="n">
        <v>1003</v>
      </c>
      <c r="C70" t="inlineStr">
        <is>
          <t>Surat</t>
        </is>
      </c>
      <c r="D70" t="inlineStr">
        <is>
          <t>14-08-2026</t>
        </is>
      </c>
      <c r="E70" t="inlineStr">
        <is>
          <t>Sneha</t>
        </is>
      </c>
      <c r="F70" t="n">
        <v>27</v>
      </c>
      <c r="G70" t="n">
        <v>63.16</v>
      </c>
      <c r="H70" t="inlineStr">
        <is>
          <t>Delivered</t>
        </is>
      </c>
    </row>
    <row r="71">
      <c r="A71" t="inlineStr">
        <is>
          <t>ORD0070</t>
        </is>
      </c>
      <c r="B71" t="n">
        <v>1006</v>
      </c>
      <c r="C71" t="inlineStr">
        <is>
          <t>Ahmedabad</t>
        </is>
      </c>
      <c r="D71" t="inlineStr">
        <is>
          <t>26-08-2026</t>
        </is>
      </c>
      <c r="F71" t="n">
        <v>51</v>
      </c>
      <c r="G71" t="n">
        <v>230.02</v>
      </c>
      <c r="H71" t="inlineStr">
        <is>
          <t>Cancelled</t>
        </is>
      </c>
    </row>
    <row r="72">
      <c r="A72" t="inlineStr">
        <is>
          <t>ORD0071</t>
        </is>
      </c>
      <c r="B72" t="n">
        <v>1004</v>
      </c>
      <c r="C72" t="inlineStr">
        <is>
          <t>Ahmedabad</t>
        </is>
      </c>
      <c r="D72" t="inlineStr">
        <is>
          <t>07-08-2026</t>
        </is>
      </c>
      <c r="E72" t="inlineStr">
        <is>
          <t>Neha</t>
        </is>
      </c>
      <c r="F72" t="n">
        <v>37</v>
      </c>
      <c r="G72" t="n">
        <v>53.77</v>
      </c>
      <c r="H72" t="inlineStr">
        <is>
          <t>Delivered</t>
        </is>
      </c>
    </row>
    <row r="73">
      <c r="A73" t="inlineStr">
        <is>
          <t>ORD0072</t>
        </is>
      </c>
      <c r="B73" t="n">
        <v>1008</v>
      </c>
      <c r="C73" t="inlineStr">
        <is>
          <t>Ahmedabad</t>
        </is>
      </c>
      <c r="D73" t="inlineStr">
        <is>
          <t>18-08-2026</t>
        </is>
      </c>
      <c r="E73" t="inlineStr">
        <is>
          <t>Mehul</t>
        </is>
      </c>
      <c r="F73" t="n">
        <v>32</v>
      </c>
      <c r="G73" t="n">
        <v>74.58</v>
      </c>
      <c r="H73" t="inlineStr">
        <is>
          <t>Delivered</t>
        </is>
      </c>
    </row>
    <row r="74">
      <c r="A74" t="inlineStr">
        <is>
          <t>ORD0073</t>
        </is>
      </c>
      <c r="B74" t="n">
        <v>1006</v>
      </c>
      <c r="C74" t="inlineStr">
        <is>
          <t>Rajkot</t>
        </is>
      </c>
      <c r="D74" t="inlineStr">
        <is>
          <t>06-08-2026</t>
        </is>
      </c>
      <c r="E74" t="inlineStr">
        <is>
          <t>Neha</t>
        </is>
      </c>
      <c r="F74" t="n">
        <v>34</v>
      </c>
      <c r="G74" t="n">
        <v>243.86</v>
      </c>
      <c r="H74" t="inlineStr">
        <is>
          <t>Delivered</t>
        </is>
      </c>
    </row>
    <row r="75">
      <c r="A75" t="inlineStr">
        <is>
          <t>ORD0074</t>
        </is>
      </c>
      <c r="B75" t="n">
        <v>1010</v>
      </c>
      <c r="C75" t="inlineStr">
        <is>
          <t>Rajkot</t>
        </is>
      </c>
      <c r="D75" t="inlineStr">
        <is>
          <t>22-08-2026</t>
        </is>
      </c>
      <c r="E75" t="inlineStr">
        <is>
          <t>Sneha</t>
        </is>
      </c>
      <c r="F75" t="n">
        <v>25</v>
      </c>
      <c r="G75" t="n">
        <v>277.4</v>
      </c>
      <c r="H75" t="inlineStr">
        <is>
          <t>Delivered</t>
        </is>
      </c>
    </row>
    <row r="76">
      <c r="A76" t="inlineStr">
        <is>
          <t>ORD0075</t>
        </is>
      </c>
      <c r="B76" t="n">
        <v>1003</v>
      </c>
      <c r="C76" t="inlineStr">
        <is>
          <t>Vadodara</t>
        </is>
      </c>
      <c r="D76" t="inlineStr">
        <is>
          <t>05-08-2026</t>
        </is>
      </c>
      <c r="E76" t="inlineStr">
        <is>
          <t>Amit</t>
        </is>
      </c>
      <c r="F76" t="n">
        <v>36</v>
      </c>
      <c r="G76" t="n">
        <v>340.75</v>
      </c>
      <c r="H76" t="inlineStr">
        <is>
          <t>Delivered</t>
        </is>
      </c>
    </row>
    <row r="77">
      <c r="A77" t="inlineStr">
        <is>
          <t>ORD0076</t>
        </is>
      </c>
      <c r="B77" t="n">
        <v>1006</v>
      </c>
      <c r="C77" t="inlineStr">
        <is>
          <t>Vadodara</t>
        </is>
      </c>
      <c r="D77" t="inlineStr">
        <is>
          <t>20-08-2026</t>
        </is>
      </c>
      <c r="E77" t="inlineStr">
        <is>
          <t>Amit</t>
        </is>
      </c>
      <c r="F77" t="n">
        <v>37</v>
      </c>
      <c r="G77" t="n">
        <v>249.56</v>
      </c>
      <c r="H77" t="inlineStr">
        <is>
          <t>Delivered</t>
        </is>
      </c>
    </row>
    <row r="78">
      <c r="A78" t="inlineStr">
        <is>
          <t>ORD0077</t>
        </is>
      </c>
      <c r="B78" t="n">
        <v>1004</v>
      </c>
      <c r="C78" t="inlineStr">
        <is>
          <t>Surat</t>
        </is>
      </c>
      <c r="D78" t="inlineStr">
        <is>
          <t>05-08-2026</t>
        </is>
      </c>
      <c r="E78" t="inlineStr">
        <is>
          <t>Neha</t>
        </is>
      </c>
      <c r="F78" t="n">
        <v>38</v>
      </c>
      <c r="G78" t="n">
        <v>118.5</v>
      </c>
      <c r="H78" t="inlineStr">
        <is>
          <t>Delivered</t>
        </is>
      </c>
    </row>
    <row r="79">
      <c r="A79" t="inlineStr">
        <is>
          <t>ORD0078</t>
        </is>
      </c>
      <c r="B79" t="n">
        <v>1004</v>
      </c>
      <c r="C79" t="inlineStr">
        <is>
          <t>Ahmedabad</t>
        </is>
      </c>
      <c r="D79" t="inlineStr">
        <is>
          <t>19-08-2026</t>
        </is>
      </c>
      <c r="F79" t="n">
        <v>55</v>
      </c>
      <c r="G79" t="n">
        <v>130.92</v>
      </c>
      <c r="H79" t="inlineStr">
        <is>
          <t>Delivered</t>
        </is>
      </c>
    </row>
    <row r="80">
      <c r="A80" t="inlineStr">
        <is>
          <t>ORD0079</t>
        </is>
      </c>
      <c r="B80" t="n">
        <v>1007</v>
      </c>
      <c r="C80" t="inlineStr">
        <is>
          <t>Ahmedabad</t>
        </is>
      </c>
      <c r="D80" t="inlineStr">
        <is>
          <t>25-08-2026</t>
        </is>
      </c>
      <c r="E80" t="inlineStr">
        <is>
          <t>Rahul</t>
        </is>
      </c>
      <c r="F80" t="n">
        <v>19</v>
      </c>
      <c r="G80" t="n">
        <v>252.32</v>
      </c>
      <c r="H80" t="inlineStr">
        <is>
          <t>Cancelled</t>
        </is>
      </c>
    </row>
    <row r="81">
      <c r="A81" t="inlineStr">
        <is>
          <t>ORD0080</t>
        </is>
      </c>
      <c r="B81" t="n">
        <v>1008</v>
      </c>
      <c r="C81" t="inlineStr">
        <is>
          <t>Rajkot</t>
        </is>
      </c>
      <c r="D81" t="inlineStr">
        <is>
          <t>17-08-2026</t>
        </is>
      </c>
      <c r="E81" t="inlineStr">
        <is>
          <t>Neha</t>
        </is>
      </c>
      <c r="F81" t="n">
        <v>50</v>
      </c>
      <c r="G81" t="n">
        <v>277.19</v>
      </c>
      <c r="H81" t="inlineStr">
        <is>
          <t>Delivered</t>
        </is>
      </c>
    </row>
    <row r="82">
      <c r="A82" t="inlineStr">
        <is>
          <t>ORD0081</t>
        </is>
      </c>
      <c r="B82" t="n">
        <v>1006</v>
      </c>
      <c r="C82" t="inlineStr">
        <is>
          <t>Vadodara</t>
        </is>
      </c>
      <c r="D82" t="inlineStr">
        <is>
          <t>02-08-2026</t>
        </is>
      </c>
      <c r="E82" t="inlineStr">
        <is>
          <t>Mehul</t>
        </is>
      </c>
      <c r="F82" t="n">
        <v>28</v>
      </c>
      <c r="G82" t="n">
        <v>66.56</v>
      </c>
      <c r="H82" t="inlineStr">
        <is>
          <t>Cancelled</t>
        </is>
      </c>
    </row>
    <row r="83">
      <c r="A83" t="inlineStr">
        <is>
          <t>ORD0082</t>
        </is>
      </c>
      <c r="B83" t="n">
        <v>1004</v>
      </c>
      <c r="C83" t="inlineStr">
        <is>
          <t>Gandhinagar</t>
        </is>
      </c>
      <c r="D83" t="inlineStr">
        <is>
          <t>17-08-2026</t>
        </is>
      </c>
      <c r="E83" t="inlineStr">
        <is>
          <t>Mehul</t>
        </is>
      </c>
      <c r="F83" t="n">
        <v>32</v>
      </c>
      <c r="G83" t="n">
        <v>341.61</v>
      </c>
      <c r="H83" t="inlineStr">
        <is>
          <t>Delivered</t>
        </is>
      </c>
    </row>
    <row r="84">
      <c r="A84" t="inlineStr">
        <is>
          <t>ORD0083</t>
        </is>
      </c>
      <c r="B84" t="n">
        <v>1010</v>
      </c>
      <c r="C84" t="inlineStr">
        <is>
          <t>Vadodara</t>
        </is>
      </c>
      <c r="D84" t="inlineStr">
        <is>
          <t>22-08-2026</t>
        </is>
      </c>
      <c r="E84" t="inlineStr">
        <is>
          <t>Rahul</t>
        </is>
      </c>
      <c r="F84" t="n">
        <v>50</v>
      </c>
      <c r="G84" t="n">
        <v>59.87</v>
      </c>
      <c r="H84" t="inlineStr">
        <is>
          <t>Delivered</t>
        </is>
      </c>
    </row>
    <row r="85">
      <c r="A85" t="inlineStr">
        <is>
          <t>ORD0084</t>
        </is>
      </c>
      <c r="B85" t="n">
        <v>1001</v>
      </c>
      <c r="C85" t="inlineStr">
        <is>
          <t>Vadodara</t>
        </is>
      </c>
      <c r="D85" t="inlineStr">
        <is>
          <t>31-08-2026</t>
        </is>
      </c>
      <c r="E85" t="inlineStr">
        <is>
          <t>Sneha</t>
        </is>
      </c>
      <c r="F85" t="n">
        <v>42</v>
      </c>
      <c r="G85" t="n">
        <v>72.25</v>
      </c>
      <c r="H85" t="inlineStr">
        <is>
          <t>Cancelled</t>
        </is>
      </c>
    </row>
    <row r="86">
      <c r="A86" t="inlineStr">
        <is>
          <t>ORD0085</t>
        </is>
      </c>
      <c r="B86" t="n">
        <v>1009</v>
      </c>
      <c r="C86" t="inlineStr">
        <is>
          <t>Gandhinagar</t>
        </is>
      </c>
      <c r="D86" t="inlineStr">
        <is>
          <t>04-08-2026</t>
        </is>
      </c>
      <c r="E86" t="inlineStr">
        <is>
          <t>Mehul</t>
        </is>
      </c>
      <c r="F86" t="n">
        <v>25</v>
      </c>
      <c r="G86" t="n">
        <v>333.82</v>
      </c>
      <c r="H86" t="inlineStr">
        <is>
          <t>Delivered</t>
        </is>
      </c>
    </row>
    <row r="87">
      <c r="A87" t="inlineStr">
        <is>
          <t>ORD0086</t>
        </is>
      </c>
      <c r="B87" t="n">
        <v>1007</v>
      </c>
      <c r="C87" t="inlineStr">
        <is>
          <t>Surat</t>
        </is>
      </c>
      <c r="D87" t="inlineStr">
        <is>
          <t>08-08-2026</t>
        </is>
      </c>
      <c r="E87" t="inlineStr">
        <is>
          <t>Neha</t>
        </is>
      </c>
      <c r="F87" t="n">
        <v>24</v>
      </c>
      <c r="G87" t="n">
        <v>347.46</v>
      </c>
      <c r="H87" t="inlineStr">
        <is>
          <t>Delivered</t>
        </is>
      </c>
    </row>
    <row r="88">
      <c r="A88" t="inlineStr">
        <is>
          <t>ORD0087</t>
        </is>
      </c>
      <c r="B88" t="n">
        <v>1010</v>
      </c>
      <c r="C88" t="inlineStr">
        <is>
          <t>Rajkot</t>
        </is>
      </c>
      <c r="D88" t="inlineStr">
        <is>
          <t>11-08-2026</t>
        </is>
      </c>
      <c r="E88" t="inlineStr">
        <is>
          <t>Karan</t>
        </is>
      </c>
      <c r="F88" t="n">
        <v>41</v>
      </c>
      <c r="G88" t="n">
        <v>264.08</v>
      </c>
      <c r="H88" t="inlineStr">
        <is>
          <t>Delivered</t>
        </is>
      </c>
    </row>
    <row r="89">
      <c r="A89" t="inlineStr">
        <is>
          <t>ORD0088</t>
        </is>
      </c>
      <c r="B89" t="n">
        <v>1006</v>
      </c>
      <c r="C89" t="inlineStr">
        <is>
          <t>Vadodara</t>
        </is>
      </c>
      <c r="D89" t="inlineStr">
        <is>
          <t>09-08-2026</t>
        </is>
      </c>
      <c r="E89" t="inlineStr">
        <is>
          <t>Amit</t>
        </is>
      </c>
      <c r="F89" t="n">
        <v>35</v>
      </c>
      <c r="G89" t="n">
        <v>269.23</v>
      </c>
      <c r="H89" t="inlineStr">
        <is>
          <t>Delivered</t>
        </is>
      </c>
    </row>
    <row r="90">
      <c r="A90" t="inlineStr">
        <is>
          <t>ORD0089</t>
        </is>
      </c>
      <c r="B90" t="n">
        <v>1005</v>
      </c>
      <c r="C90" t="inlineStr">
        <is>
          <t>Rajkot</t>
        </is>
      </c>
      <c r="D90" t="inlineStr">
        <is>
          <t>18-08-2026</t>
        </is>
      </c>
      <c r="E90" t="inlineStr">
        <is>
          <t>Neha</t>
        </is>
      </c>
      <c r="F90" t="n">
        <v>24</v>
      </c>
      <c r="G90" t="n">
        <v>192.77</v>
      </c>
      <c r="H90" t="inlineStr">
        <is>
          <t>Delivered</t>
        </is>
      </c>
    </row>
    <row r="91">
      <c r="A91" t="inlineStr">
        <is>
          <t>ORD0090</t>
        </is>
      </c>
      <c r="B91" t="n">
        <v>1003</v>
      </c>
      <c r="C91" t="inlineStr">
        <is>
          <t>Surat</t>
        </is>
      </c>
      <c r="D91" t="inlineStr">
        <is>
          <t>23-08-2026</t>
        </is>
      </c>
      <c r="E91" t="inlineStr">
        <is>
          <t>Sneha</t>
        </is>
      </c>
      <c r="F91" t="n">
        <v>23</v>
      </c>
      <c r="G91" t="n">
        <v>293.09</v>
      </c>
      <c r="H91" t="inlineStr">
        <is>
          <t>Cancelled</t>
        </is>
      </c>
    </row>
    <row r="92">
      <c r="A92" t="inlineStr">
        <is>
          <t>ORD0091</t>
        </is>
      </c>
      <c r="B92" t="n">
        <v>1008</v>
      </c>
      <c r="C92" t="inlineStr">
        <is>
          <t>Rajkot</t>
        </is>
      </c>
      <c r="D92" t="inlineStr">
        <is>
          <t>17-08-2026</t>
        </is>
      </c>
      <c r="F92" t="n">
        <v>23</v>
      </c>
      <c r="G92" t="n">
        <v>287.76</v>
      </c>
      <c r="H92" t="inlineStr">
        <is>
          <t>Cancelled</t>
        </is>
      </c>
    </row>
    <row r="93">
      <c r="A93" t="inlineStr">
        <is>
          <t>ORD0092</t>
        </is>
      </c>
      <c r="B93" t="n">
        <v>1002</v>
      </c>
      <c r="C93" t="inlineStr">
        <is>
          <t>Rajkot</t>
        </is>
      </c>
      <c r="D93" t="inlineStr">
        <is>
          <t>10-08-2026</t>
        </is>
      </c>
      <c r="E93" t="inlineStr">
        <is>
          <t>Karan</t>
        </is>
      </c>
      <c r="F93" t="n">
        <v>27</v>
      </c>
      <c r="G93" t="n">
        <v>288.46</v>
      </c>
      <c r="H93" t="inlineStr">
        <is>
          <t>Cancelled</t>
        </is>
      </c>
    </row>
    <row r="94">
      <c r="A94" t="inlineStr">
        <is>
          <t>ORD0093</t>
        </is>
      </c>
      <c r="B94" t="n">
        <v>1009</v>
      </c>
      <c r="C94" t="inlineStr">
        <is>
          <t>Vadodara</t>
        </is>
      </c>
      <c r="D94" t="inlineStr">
        <is>
          <t>15-08-2026</t>
        </is>
      </c>
      <c r="E94" t="inlineStr">
        <is>
          <t>Sneha</t>
        </is>
      </c>
      <c r="F94" t="n">
        <v>43</v>
      </c>
      <c r="G94" t="n">
        <v>169.98</v>
      </c>
      <c r="H94" t="inlineStr">
        <is>
          <t>Cancelled</t>
        </is>
      </c>
    </row>
    <row r="95">
      <c r="A95" t="inlineStr">
        <is>
          <t>ORD0094</t>
        </is>
      </c>
      <c r="B95" t="n">
        <v>1006</v>
      </c>
      <c r="C95" t="inlineStr">
        <is>
          <t>Rajkot</t>
        </is>
      </c>
      <c r="D95" t="inlineStr">
        <is>
          <t>29-08-2026</t>
        </is>
      </c>
      <c r="E95" t="inlineStr">
        <is>
          <t>Amit</t>
        </is>
      </c>
      <c r="F95" t="n">
        <v>48</v>
      </c>
      <c r="G95" t="n">
        <v>336.09</v>
      </c>
      <c r="H95" t="inlineStr">
        <is>
          <t>Delivered</t>
        </is>
      </c>
    </row>
    <row r="96">
      <c r="A96" t="inlineStr">
        <is>
          <t>ORD0095</t>
        </is>
      </c>
      <c r="B96" t="n">
        <v>1006</v>
      </c>
      <c r="C96" t="inlineStr">
        <is>
          <t>Ahmedabad</t>
        </is>
      </c>
      <c r="D96" t="inlineStr">
        <is>
          <t>24-08-2026</t>
        </is>
      </c>
      <c r="E96" t="inlineStr">
        <is>
          <t>Mehul</t>
        </is>
      </c>
      <c r="F96" t="n">
        <v>20</v>
      </c>
      <c r="G96" t="n">
        <v>189.98</v>
      </c>
      <c r="H96" t="inlineStr">
        <is>
          <t>Delivered</t>
        </is>
      </c>
    </row>
    <row r="97">
      <c r="A97" t="inlineStr">
        <is>
          <t>ORD0096</t>
        </is>
      </c>
      <c r="B97" t="n">
        <v>1007</v>
      </c>
      <c r="C97" t="inlineStr">
        <is>
          <t>Ahmedabad</t>
        </is>
      </c>
      <c r="D97" t="inlineStr">
        <is>
          <t>28-08-2026</t>
        </is>
      </c>
      <c r="E97" t="inlineStr">
        <is>
          <t>Priya</t>
        </is>
      </c>
      <c r="F97" t="n">
        <v>43</v>
      </c>
      <c r="G97" t="n">
        <v>147.7</v>
      </c>
      <c r="H97" t="inlineStr">
        <is>
          <t>Delivered</t>
        </is>
      </c>
    </row>
    <row r="98">
      <c r="A98" t="inlineStr">
        <is>
          <t>ORD0097</t>
        </is>
      </c>
      <c r="B98" t="n">
        <v>1001</v>
      </c>
      <c r="C98" t="inlineStr">
        <is>
          <t>Rajkot</t>
        </is>
      </c>
      <c r="D98" t="inlineStr">
        <is>
          <t>06-08-2026</t>
        </is>
      </c>
      <c r="E98" t="inlineStr">
        <is>
          <t>Priya</t>
        </is>
      </c>
      <c r="F98" t="n">
        <v>40</v>
      </c>
      <c r="G98" t="n">
        <v>106.68</v>
      </c>
      <c r="H98" t="inlineStr">
        <is>
          <t>Delivered</t>
        </is>
      </c>
    </row>
    <row r="99">
      <c r="A99" t="inlineStr">
        <is>
          <t>ORD0098</t>
        </is>
      </c>
      <c r="B99" t="n">
        <v>1001</v>
      </c>
      <c r="C99" t="inlineStr">
        <is>
          <t>Vadodara</t>
        </is>
      </c>
      <c r="D99" t="inlineStr">
        <is>
          <t>03-08-2026</t>
        </is>
      </c>
      <c r="E99" t="inlineStr">
        <is>
          <t>Rahul</t>
        </is>
      </c>
      <c r="F99" t="n">
        <v>23</v>
      </c>
      <c r="G99" t="n">
        <v>274.31</v>
      </c>
      <c r="H99" t="inlineStr">
        <is>
          <t>Cancelled</t>
        </is>
      </c>
    </row>
    <row r="100">
      <c r="A100" t="inlineStr">
        <is>
          <t>ORD0099</t>
        </is>
      </c>
      <c r="B100" t="n">
        <v>1010</v>
      </c>
      <c r="C100" t="inlineStr">
        <is>
          <t>Gandhinagar</t>
        </is>
      </c>
      <c r="D100" t="inlineStr">
        <is>
          <t>22-08-2026</t>
        </is>
      </c>
      <c r="E100" t="inlineStr">
        <is>
          <t>Neha</t>
        </is>
      </c>
      <c r="F100" t="n">
        <v>54</v>
      </c>
      <c r="G100" t="n">
        <v>283.03</v>
      </c>
      <c r="H100" t="inlineStr">
        <is>
          <t>Delivered</t>
        </is>
      </c>
    </row>
    <row r="101">
      <c r="A101" t="inlineStr">
        <is>
          <t>ORD0100</t>
        </is>
      </c>
      <c r="B101" t="n">
        <v>1009</v>
      </c>
      <c r="C101" t="inlineStr">
        <is>
          <t>Ahmedabad</t>
        </is>
      </c>
      <c r="D101" t="inlineStr">
        <is>
          <t>19-08-2026</t>
        </is>
      </c>
      <c r="E101" t="inlineStr">
        <is>
          <t>Amit</t>
        </is>
      </c>
      <c r="F101" t="n">
        <v>52</v>
      </c>
      <c r="G101" t="n">
        <v>136.31</v>
      </c>
      <c r="H101" t="inlineStr">
        <is>
          <t>Cancelled</t>
        </is>
      </c>
    </row>
    <row r="102">
      <c r="A102" t="inlineStr">
        <is>
          <t>ORD0005</t>
        </is>
      </c>
      <c r="B102" t="n">
        <v>1006</v>
      </c>
      <c r="C102" t="inlineStr">
        <is>
          <t>Gandhinagar</t>
        </is>
      </c>
      <c r="D102" t="inlineStr">
        <is>
          <t>11-08-2026</t>
        </is>
      </c>
      <c r="E102" t="inlineStr">
        <is>
          <t>Karan</t>
        </is>
      </c>
      <c r="F102" t="n">
        <v>29</v>
      </c>
      <c r="G102" t="n">
        <v>336.58</v>
      </c>
      <c r="H102" t="inlineStr">
        <is>
          <t>Delivered</t>
        </is>
      </c>
    </row>
    <row r="103">
      <c r="A103" t="inlineStr">
        <is>
          <t>ORD0020</t>
        </is>
      </c>
      <c r="B103" t="n">
        <v>1001</v>
      </c>
      <c r="C103" t="inlineStr">
        <is>
          <t>Vadodara</t>
        </is>
      </c>
      <c r="D103" t="inlineStr">
        <is>
          <t>25-08-2026</t>
        </is>
      </c>
      <c r="E103" t="inlineStr">
        <is>
          <t>Amit</t>
        </is>
      </c>
      <c r="F103" t="n">
        <v>55</v>
      </c>
      <c r="G103" t="n">
        <v>185.69</v>
      </c>
      <c r="H103" t="inlineStr">
        <is>
          <t>Delivered</t>
        </is>
      </c>
    </row>
    <row r="104">
      <c r="A104" t="inlineStr">
        <is>
          <t>ORD0056</t>
        </is>
      </c>
      <c r="B104" t="n">
        <v>1009</v>
      </c>
      <c r="C104" t="inlineStr">
        <is>
          <t>Gandhinagar</t>
        </is>
      </c>
      <c r="D104" t="inlineStr">
        <is>
          <t>06-08-2026</t>
        </is>
      </c>
      <c r="E104" t="inlineStr">
        <is>
          <t>Amit</t>
        </is>
      </c>
      <c r="F104" t="n">
        <v>34</v>
      </c>
      <c r="G104" t="n">
        <v>154.95</v>
      </c>
      <c r="H104" t="inlineStr">
        <is>
          <t>Cancelled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10" customWidth="1" min="1" max="1"/>
    <col width="15" customWidth="1" min="2" max="2"/>
    <col width="13" customWidth="1" min="3" max="3"/>
    <col width="21" customWidth="1" min="4" max="4"/>
    <col width="18" customWidth="1" min="5" max="5"/>
    <col width="21" customWidth="1" min="6" max="6"/>
    <col width="17" customWidth="1" min="7" max="7"/>
    <col width="11" customWidth="1" min="8" max="8"/>
  </cols>
  <sheetData>
    <row r="1">
      <c r="A1" s="1" t="inlineStr">
        <is>
          <t>Order ID</t>
        </is>
      </c>
      <c r="B1" s="1" t="inlineStr">
        <is>
          <t>Restaurant ID</t>
        </is>
      </c>
      <c r="C1" s="1" t="inlineStr">
        <is>
          <t>City</t>
        </is>
      </c>
      <c r="D1" s="1" t="inlineStr">
        <is>
          <t>Delivery Date</t>
        </is>
      </c>
      <c r="E1" s="1" t="inlineStr">
        <is>
          <t>Delivery Partner</t>
        </is>
      </c>
      <c r="F1" s="1" t="inlineStr">
        <is>
          <t>Delivery Time (min)</t>
        </is>
      </c>
      <c r="G1" s="1" t="inlineStr">
        <is>
          <t>Delivery Charge</t>
        </is>
      </c>
      <c r="H1" s="1" t="inlineStr">
        <is>
          <t>Status</t>
        </is>
      </c>
    </row>
    <row r="2">
      <c r="A2" t="inlineStr">
        <is>
          <t>ORD0001</t>
        </is>
      </c>
      <c r="B2" t="n">
        <v>1003</v>
      </c>
      <c r="C2" t="inlineStr">
        <is>
          <t>Surat</t>
        </is>
      </c>
      <c r="D2" s="3" t="n">
        <v>46235</v>
      </c>
      <c r="E2" t="inlineStr">
        <is>
          <t>Unassigned</t>
        </is>
      </c>
      <c r="F2" t="n">
        <v>29</v>
      </c>
      <c r="G2" t="n">
        <v>257.61</v>
      </c>
      <c r="H2" t="inlineStr">
        <is>
          <t>Delivered</t>
        </is>
      </c>
    </row>
    <row r="3">
      <c r="A3" t="inlineStr">
        <is>
          <t>ORD0002</t>
        </is>
      </c>
      <c r="B3" t="n">
        <v>1002</v>
      </c>
      <c r="C3" t="inlineStr">
        <is>
          <t>Surat</t>
        </is>
      </c>
      <c r="D3" s="3" t="n">
        <v>46243</v>
      </c>
      <c r="E3" t="inlineStr">
        <is>
          <t>Rahul</t>
        </is>
      </c>
      <c r="F3" t="n">
        <v>38</v>
      </c>
      <c r="G3" t="n">
        <v>342.59</v>
      </c>
      <c r="H3" t="inlineStr">
        <is>
          <t>Delivered</t>
        </is>
      </c>
    </row>
    <row r="4">
      <c r="A4" t="inlineStr">
        <is>
          <t>ORD0003</t>
        </is>
      </c>
      <c r="B4" t="n">
        <v>1009</v>
      </c>
      <c r="C4" t="inlineStr">
        <is>
          <t>Rajkot</t>
        </is>
      </c>
      <c r="D4" s="3" t="n">
        <v>46257</v>
      </c>
      <c r="E4" t="inlineStr">
        <is>
          <t>Rahul</t>
        </is>
      </c>
      <c r="F4" t="n">
        <v>54</v>
      </c>
      <c r="G4" t="n">
        <v>313.22</v>
      </c>
      <c r="H4" t="inlineStr">
        <is>
          <t>Delivered</t>
        </is>
      </c>
    </row>
    <row r="5">
      <c r="A5" t="inlineStr">
        <is>
          <t>ORD0004</t>
        </is>
      </c>
      <c r="B5" t="n">
        <v>1005</v>
      </c>
      <c r="C5" t="inlineStr">
        <is>
          <t>Rajkot</t>
        </is>
      </c>
      <c r="D5" s="3" t="n">
        <v>46241</v>
      </c>
      <c r="E5" t="inlineStr">
        <is>
          <t>Neha</t>
        </is>
      </c>
      <c r="F5" t="n">
        <v>25</v>
      </c>
      <c r="G5" t="n">
        <v>220.68</v>
      </c>
      <c r="H5" t="inlineStr">
        <is>
          <t>Delivered</t>
        </is>
      </c>
    </row>
    <row r="6">
      <c r="A6" t="inlineStr">
        <is>
          <t>ORD0005</t>
        </is>
      </c>
      <c r="B6" t="n">
        <v>1006</v>
      </c>
      <c r="C6" t="inlineStr">
        <is>
          <t>Gandhinagar</t>
        </is>
      </c>
      <c r="D6" s="3" t="n">
        <v>46245</v>
      </c>
      <c r="E6" t="inlineStr">
        <is>
          <t>Karan</t>
        </is>
      </c>
      <c r="F6" t="n">
        <v>29</v>
      </c>
      <c r="G6" t="n">
        <v>336.58</v>
      </c>
      <c r="H6" t="inlineStr">
        <is>
          <t>Delivered</t>
        </is>
      </c>
    </row>
    <row r="7">
      <c r="A7" t="inlineStr">
        <is>
          <t>ORD0006</t>
        </is>
      </c>
      <c r="B7" t="n">
        <v>1009</v>
      </c>
      <c r="C7" t="inlineStr">
        <is>
          <t>Surat</t>
        </is>
      </c>
      <c r="D7" s="3" t="n">
        <v>46243</v>
      </c>
      <c r="E7" t="inlineStr">
        <is>
          <t>Karan</t>
        </is>
      </c>
      <c r="F7" t="n">
        <v>29</v>
      </c>
      <c r="G7" t="n">
        <v>173.89</v>
      </c>
      <c r="H7" t="inlineStr">
        <is>
          <t>Delivered</t>
        </is>
      </c>
    </row>
    <row r="8">
      <c r="A8" t="inlineStr">
        <is>
          <t>ORD0007</t>
        </is>
      </c>
      <c r="B8" t="n">
        <v>1009</v>
      </c>
      <c r="C8" t="inlineStr">
        <is>
          <t>Ahmedabad</t>
        </is>
      </c>
      <c r="D8" s="3" t="n">
        <v>46248</v>
      </c>
      <c r="E8" t="inlineStr">
        <is>
          <t>Karan</t>
        </is>
      </c>
      <c r="F8" t="n">
        <v>50</v>
      </c>
      <c r="G8" t="n">
        <v>128.13</v>
      </c>
      <c r="H8" t="inlineStr">
        <is>
          <t>Cancelled</t>
        </is>
      </c>
    </row>
    <row r="9">
      <c r="A9" t="inlineStr">
        <is>
          <t>ORD0008</t>
        </is>
      </c>
      <c r="B9" t="n">
        <v>1007</v>
      </c>
      <c r="C9" t="inlineStr">
        <is>
          <t>Surat</t>
        </is>
      </c>
      <c r="D9" s="3" t="n">
        <v>46244</v>
      </c>
      <c r="E9" t="inlineStr">
        <is>
          <t>Mehul</t>
        </is>
      </c>
      <c r="F9" t="n">
        <v>43</v>
      </c>
      <c r="G9" t="n">
        <v>220.6</v>
      </c>
      <c r="H9" t="inlineStr">
        <is>
          <t>Delivered</t>
        </is>
      </c>
    </row>
    <row r="10">
      <c r="A10" t="inlineStr">
        <is>
          <t>ORD0009</t>
        </is>
      </c>
      <c r="B10" t="n">
        <v>1010</v>
      </c>
      <c r="C10" t="inlineStr">
        <is>
          <t>Gandhinagar</t>
        </is>
      </c>
      <c r="D10" s="3" t="n">
        <v>46252</v>
      </c>
      <c r="E10" t="inlineStr">
        <is>
          <t>Sneha</t>
        </is>
      </c>
      <c r="F10" t="n">
        <v>51</v>
      </c>
      <c r="G10" t="n">
        <v>172.48</v>
      </c>
      <c r="H10" t="inlineStr">
        <is>
          <t>Delivered</t>
        </is>
      </c>
    </row>
    <row r="11">
      <c r="A11" t="inlineStr">
        <is>
          <t>ORD0010</t>
        </is>
      </c>
      <c r="B11" t="n">
        <v>1008</v>
      </c>
      <c r="C11" t="inlineStr">
        <is>
          <t>Vadodara</t>
        </is>
      </c>
      <c r="D11" s="3" t="n">
        <v>46238</v>
      </c>
      <c r="E11" t="inlineStr">
        <is>
          <t>Sneha</t>
        </is>
      </c>
      <c r="F11" t="n">
        <v>43</v>
      </c>
      <c r="G11" t="n">
        <v>58</v>
      </c>
      <c r="H11" t="inlineStr">
        <is>
          <t>Delivered</t>
        </is>
      </c>
    </row>
    <row r="12">
      <c r="A12" t="inlineStr">
        <is>
          <t>ORD0011</t>
        </is>
      </c>
      <c r="B12" t="n">
        <v>1009</v>
      </c>
      <c r="C12" t="inlineStr">
        <is>
          <t>Surat</t>
        </is>
      </c>
      <c r="D12" s="3" t="n">
        <v>46247</v>
      </c>
      <c r="E12" t="inlineStr">
        <is>
          <t>Rahul</t>
        </is>
      </c>
      <c r="F12" t="n">
        <v>24</v>
      </c>
      <c r="G12" t="n">
        <v>182.28</v>
      </c>
      <c r="H12" t="inlineStr">
        <is>
          <t>Delivered</t>
        </is>
      </c>
    </row>
    <row r="13">
      <c r="A13" t="inlineStr">
        <is>
          <t>ORD0012</t>
        </is>
      </c>
      <c r="B13" t="n">
        <v>1003</v>
      </c>
      <c r="C13" t="inlineStr">
        <is>
          <t>Ahmedabad</t>
        </is>
      </c>
      <c r="D13" s="3" t="n">
        <v>46252</v>
      </c>
      <c r="E13" t="inlineStr">
        <is>
          <t>Sneha</t>
        </is>
      </c>
      <c r="F13" t="n">
        <v>40</v>
      </c>
      <c r="G13" t="n">
        <v>95.45</v>
      </c>
      <c r="H13" t="inlineStr">
        <is>
          <t>Delivered</t>
        </is>
      </c>
    </row>
    <row r="14">
      <c r="A14" t="inlineStr">
        <is>
          <t>ORD0013</t>
        </is>
      </c>
      <c r="B14" t="n">
        <v>1004</v>
      </c>
      <c r="C14" t="inlineStr">
        <is>
          <t>Rajkot</t>
        </is>
      </c>
      <c r="D14" s="3" t="n">
        <v>46236</v>
      </c>
      <c r="E14" t="inlineStr">
        <is>
          <t>Amit</t>
        </is>
      </c>
      <c r="F14" t="n">
        <v>52</v>
      </c>
      <c r="G14" t="n">
        <v>81.72</v>
      </c>
      <c r="H14" t="inlineStr">
        <is>
          <t>Delivered</t>
        </is>
      </c>
    </row>
    <row r="15">
      <c r="A15" t="inlineStr">
        <is>
          <t>ORD0014</t>
        </is>
      </c>
      <c r="B15" t="n">
        <v>1002</v>
      </c>
      <c r="C15" t="inlineStr">
        <is>
          <t>Ahmedabad</t>
        </is>
      </c>
      <c r="D15" s="3" t="n">
        <v>46241</v>
      </c>
      <c r="E15" t="inlineStr">
        <is>
          <t>Sneha</t>
        </is>
      </c>
      <c r="F15" t="n">
        <v>25</v>
      </c>
      <c r="G15" t="n">
        <v>296.71</v>
      </c>
      <c r="H15" t="inlineStr">
        <is>
          <t>Cancelled</t>
        </is>
      </c>
    </row>
    <row r="16">
      <c r="A16" t="inlineStr">
        <is>
          <t>ORD0015</t>
        </is>
      </c>
      <c r="B16" t="n">
        <v>1001</v>
      </c>
      <c r="C16" t="inlineStr">
        <is>
          <t>Ahmedabad</t>
        </is>
      </c>
      <c r="D16" s="3" t="n">
        <v>46250</v>
      </c>
      <c r="E16" t="inlineStr">
        <is>
          <t>Neha</t>
        </is>
      </c>
      <c r="F16" t="n">
        <v>55</v>
      </c>
      <c r="G16" t="n">
        <v>128.1</v>
      </c>
      <c r="H16" t="inlineStr">
        <is>
          <t>Cancelled</t>
        </is>
      </c>
    </row>
    <row r="17">
      <c r="A17" t="inlineStr">
        <is>
          <t>ORD0016</t>
        </is>
      </c>
      <c r="B17" t="n">
        <v>1008</v>
      </c>
      <c r="C17" t="inlineStr">
        <is>
          <t>Ahmedabad</t>
        </is>
      </c>
      <c r="D17" s="3" t="n">
        <v>46255</v>
      </c>
      <c r="E17" t="inlineStr">
        <is>
          <t>Mehul</t>
        </is>
      </c>
      <c r="F17" t="n">
        <v>25</v>
      </c>
      <c r="G17" t="n">
        <v>294.14</v>
      </c>
      <c r="H17" t="inlineStr">
        <is>
          <t>Delivered</t>
        </is>
      </c>
    </row>
    <row r="18">
      <c r="A18" t="inlineStr">
        <is>
          <t>ORD0017</t>
        </is>
      </c>
      <c r="B18" t="n">
        <v>1002</v>
      </c>
      <c r="C18" t="inlineStr">
        <is>
          <t>Ahmedabad</t>
        </is>
      </c>
      <c r="D18" s="3" t="n">
        <v>46240</v>
      </c>
      <c r="E18" t="inlineStr">
        <is>
          <t>Mehul</t>
        </is>
      </c>
      <c r="F18" t="n">
        <v>22</v>
      </c>
      <c r="G18" t="n">
        <v>145.58</v>
      </c>
      <c r="H18" t="inlineStr">
        <is>
          <t>Delivered</t>
        </is>
      </c>
    </row>
    <row r="19">
      <c r="A19" t="inlineStr">
        <is>
          <t>ORD0018</t>
        </is>
      </c>
      <c r="B19" t="n">
        <v>1010</v>
      </c>
      <c r="C19" t="inlineStr">
        <is>
          <t>Rajkot</t>
        </is>
      </c>
      <c r="D19" s="3" t="n">
        <v>46257</v>
      </c>
      <c r="E19" t="inlineStr">
        <is>
          <t>Karan</t>
        </is>
      </c>
      <c r="F19" t="n">
        <v>29</v>
      </c>
      <c r="G19" t="n">
        <v>52.98</v>
      </c>
      <c r="H19" t="inlineStr">
        <is>
          <t>Delivered</t>
        </is>
      </c>
    </row>
    <row r="20">
      <c r="A20" t="inlineStr">
        <is>
          <t>ORD0019</t>
        </is>
      </c>
      <c r="B20" t="n">
        <v>1006</v>
      </c>
      <c r="C20" t="inlineStr">
        <is>
          <t>Ahmedabad</t>
        </is>
      </c>
      <c r="D20" s="3" t="n">
        <v>46241</v>
      </c>
      <c r="E20" t="inlineStr">
        <is>
          <t>Karan</t>
        </is>
      </c>
      <c r="F20" t="n">
        <v>49</v>
      </c>
      <c r="G20" t="n">
        <v>308.52</v>
      </c>
      <c r="H20" t="inlineStr">
        <is>
          <t>Delivered</t>
        </is>
      </c>
    </row>
    <row r="21">
      <c r="A21" t="inlineStr">
        <is>
          <t>ORD0020</t>
        </is>
      </c>
      <c r="B21" t="n">
        <v>1001</v>
      </c>
      <c r="C21" t="inlineStr">
        <is>
          <t>Vadodara</t>
        </is>
      </c>
      <c r="D21" s="3" t="n">
        <v>46259</v>
      </c>
      <c r="E21" t="inlineStr">
        <is>
          <t>Amit</t>
        </is>
      </c>
      <c r="F21" t="n">
        <v>55</v>
      </c>
      <c r="G21" t="n">
        <v>185.69</v>
      </c>
      <c r="H21" t="inlineStr">
        <is>
          <t>Delivered</t>
        </is>
      </c>
    </row>
    <row r="22">
      <c r="A22" t="inlineStr">
        <is>
          <t>ORD0021</t>
        </is>
      </c>
      <c r="B22" t="n">
        <v>1007</v>
      </c>
      <c r="C22" t="inlineStr">
        <is>
          <t>Vadodara</t>
        </is>
      </c>
      <c r="D22" s="3" t="n">
        <v>46238</v>
      </c>
      <c r="E22" t="inlineStr">
        <is>
          <t>Neha</t>
        </is>
      </c>
      <c r="F22" t="n">
        <v>20</v>
      </c>
      <c r="G22" t="n">
        <v>113.69</v>
      </c>
      <c r="H22" t="inlineStr">
        <is>
          <t>Delivered</t>
        </is>
      </c>
    </row>
    <row r="23">
      <c r="A23" t="inlineStr">
        <is>
          <t>ORD0022</t>
        </is>
      </c>
      <c r="B23" t="n">
        <v>1004</v>
      </c>
      <c r="C23" t="inlineStr">
        <is>
          <t>Surat</t>
        </is>
      </c>
      <c r="D23" s="3" t="n">
        <v>46259</v>
      </c>
      <c r="E23" t="inlineStr">
        <is>
          <t>Unassigned</t>
        </is>
      </c>
      <c r="F23" t="n">
        <v>42</v>
      </c>
      <c r="G23" t="n">
        <v>55.23</v>
      </c>
      <c r="H23" t="inlineStr">
        <is>
          <t>Cancelled</t>
        </is>
      </c>
    </row>
    <row r="24">
      <c r="A24" t="inlineStr">
        <is>
          <t>ORD0023</t>
        </is>
      </c>
      <c r="B24" t="n">
        <v>1008</v>
      </c>
      <c r="C24" t="inlineStr">
        <is>
          <t>Vadodara</t>
        </is>
      </c>
      <c r="D24" s="3" t="n">
        <v>46242</v>
      </c>
      <c r="E24" t="inlineStr">
        <is>
          <t>Priya</t>
        </is>
      </c>
      <c r="F24" t="n">
        <v>25</v>
      </c>
      <c r="G24" t="n">
        <v>122.55</v>
      </c>
      <c r="H24" t="inlineStr">
        <is>
          <t>Delivered</t>
        </is>
      </c>
    </row>
    <row r="25">
      <c r="A25" t="inlineStr">
        <is>
          <t>ORD0024</t>
        </is>
      </c>
      <c r="B25" t="n">
        <v>1010</v>
      </c>
      <c r="C25" t="inlineStr">
        <is>
          <t>Surat</t>
        </is>
      </c>
      <c r="D25" s="3" t="n">
        <v>46240</v>
      </c>
      <c r="E25" t="inlineStr">
        <is>
          <t>Mehul</t>
        </is>
      </c>
      <c r="F25" t="n">
        <v>21</v>
      </c>
      <c r="G25" t="n">
        <v>49.29</v>
      </c>
      <c r="H25" t="inlineStr">
        <is>
          <t>Delivered</t>
        </is>
      </c>
    </row>
    <row r="26">
      <c r="A26" t="inlineStr">
        <is>
          <t>ORD0025</t>
        </is>
      </c>
      <c r="B26" t="n">
        <v>1010</v>
      </c>
      <c r="C26" t="inlineStr">
        <is>
          <t>Vadodara</t>
        </is>
      </c>
      <c r="D26" s="3" t="n">
        <v>46236</v>
      </c>
      <c r="E26" t="inlineStr">
        <is>
          <t>Unassigned</t>
        </is>
      </c>
      <c r="F26" t="n">
        <v>19</v>
      </c>
      <c r="G26" t="n">
        <v>125.89</v>
      </c>
      <c r="H26" t="inlineStr">
        <is>
          <t>Delivered</t>
        </is>
      </c>
    </row>
    <row r="27">
      <c r="A27" t="inlineStr">
        <is>
          <t>ORD0026</t>
        </is>
      </c>
      <c r="B27" t="n">
        <v>1004</v>
      </c>
      <c r="C27" t="inlineStr">
        <is>
          <t>Rajkot</t>
        </is>
      </c>
      <c r="D27" s="3" t="n">
        <v>46262</v>
      </c>
      <c r="E27" t="inlineStr">
        <is>
          <t>Priya</t>
        </is>
      </c>
      <c r="F27" t="n">
        <v>46</v>
      </c>
      <c r="G27" t="n">
        <v>205.71</v>
      </c>
      <c r="H27" t="inlineStr">
        <is>
          <t>Delivered</t>
        </is>
      </c>
    </row>
    <row r="28">
      <c r="A28" t="inlineStr">
        <is>
          <t>ORD0027</t>
        </is>
      </c>
      <c r="B28" t="n">
        <v>1006</v>
      </c>
      <c r="C28" t="inlineStr">
        <is>
          <t>Vadodara</t>
        </is>
      </c>
      <c r="D28" s="3" t="n">
        <v>46243</v>
      </c>
      <c r="E28" t="inlineStr">
        <is>
          <t>Rahul</t>
        </is>
      </c>
      <c r="F28" t="n">
        <v>42</v>
      </c>
      <c r="G28" t="n">
        <v>228.59</v>
      </c>
      <c r="H28" t="inlineStr">
        <is>
          <t>Delivered</t>
        </is>
      </c>
    </row>
    <row r="29">
      <c r="A29" t="inlineStr">
        <is>
          <t>ORD0028</t>
        </is>
      </c>
      <c r="B29" t="n">
        <v>1003</v>
      </c>
      <c r="C29" t="inlineStr">
        <is>
          <t>Gandhinagar</t>
        </is>
      </c>
      <c r="D29" s="3" t="n">
        <v>46252</v>
      </c>
      <c r="E29" t="inlineStr">
        <is>
          <t>Mehul</t>
        </is>
      </c>
      <c r="F29" t="n">
        <v>35</v>
      </c>
      <c r="G29" t="n">
        <v>303.04</v>
      </c>
      <c r="H29" t="inlineStr">
        <is>
          <t>Delivered</t>
        </is>
      </c>
    </row>
    <row r="30">
      <c r="A30" t="inlineStr">
        <is>
          <t>ORD0029</t>
        </is>
      </c>
      <c r="B30" t="n">
        <v>1004</v>
      </c>
      <c r="C30" t="inlineStr">
        <is>
          <t>Vadodara</t>
        </is>
      </c>
      <c r="D30" s="3" t="n">
        <v>46243</v>
      </c>
      <c r="E30" t="inlineStr">
        <is>
          <t>Neha</t>
        </is>
      </c>
      <c r="F30" t="n">
        <v>40</v>
      </c>
      <c r="G30" t="n">
        <v>300</v>
      </c>
      <c r="H30" t="inlineStr">
        <is>
          <t>Cancelled</t>
        </is>
      </c>
    </row>
    <row r="31">
      <c r="A31" t="inlineStr">
        <is>
          <t>ORD0030</t>
        </is>
      </c>
      <c r="B31" t="n">
        <v>1008</v>
      </c>
      <c r="C31" t="inlineStr">
        <is>
          <t>Surat</t>
        </is>
      </c>
      <c r="D31" s="3" t="n">
        <v>46252</v>
      </c>
      <c r="E31" t="inlineStr">
        <is>
          <t>Priya</t>
        </is>
      </c>
      <c r="F31" t="n">
        <v>49</v>
      </c>
      <c r="G31" t="n">
        <v>165.77</v>
      </c>
      <c r="H31" t="inlineStr">
        <is>
          <t>Delivered</t>
        </is>
      </c>
    </row>
    <row r="32">
      <c r="A32" t="inlineStr">
        <is>
          <t>ORD0031</t>
        </is>
      </c>
      <c r="B32" t="n">
        <v>1007</v>
      </c>
      <c r="C32" t="inlineStr">
        <is>
          <t>Gandhinagar</t>
        </is>
      </c>
      <c r="D32" s="3" t="n">
        <v>46241</v>
      </c>
      <c r="E32" t="inlineStr">
        <is>
          <t>Neha</t>
        </is>
      </c>
      <c r="F32" t="n">
        <v>23</v>
      </c>
      <c r="G32" t="n">
        <v>55.69</v>
      </c>
      <c r="H32" t="inlineStr">
        <is>
          <t>Cancelled</t>
        </is>
      </c>
    </row>
    <row r="33">
      <c r="A33" t="inlineStr">
        <is>
          <t>ORD0032</t>
        </is>
      </c>
      <c r="B33" t="n">
        <v>1006</v>
      </c>
      <c r="C33" t="inlineStr">
        <is>
          <t>Surat</t>
        </is>
      </c>
      <c r="D33" s="3" t="n">
        <v>46236</v>
      </c>
      <c r="E33" t="inlineStr">
        <is>
          <t>Neha</t>
        </is>
      </c>
      <c r="F33" t="n">
        <v>30</v>
      </c>
      <c r="G33" t="n">
        <v>212.88</v>
      </c>
      <c r="H33" t="inlineStr">
        <is>
          <t>Delivered</t>
        </is>
      </c>
    </row>
    <row r="34">
      <c r="A34" t="inlineStr">
        <is>
          <t>ORD0033</t>
        </is>
      </c>
      <c r="B34" t="n">
        <v>1009</v>
      </c>
      <c r="C34" t="inlineStr">
        <is>
          <t>Vadodara</t>
        </is>
      </c>
      <c r="D34" s="3" t="n">
        <v>46259</v>
      </c>
      <c r="E34" t="inlineStr">
        <is>
          <t>Rahul</t>
        </is>
      </c>
      <c r="F34" t="n">
        <v>25</v>
      </c>
      <c r="G34" t="n">
        <v>334.05</v>
      </c>
      <c r="H34" t="inlineStr">
        <is>
          <t>Delivered</t>
        </is>
      </c>
    </row>
    <row r="35">
      <c r="A35" t="inlineStr">
        <is>
          <t>ORD0034</t>
        </is>
      </c>
      <c r="B35" t="n">
        <v>1002</v>
      </c>
      <c r="C35" t="inlineStr">
        <is>
          <t>Ahmedabad</t>
        </is>
      </c>
      <c r="D35" s="3" t="n">
        <v>46253</v>
      </c>
      <c r="E35" t="inlineStr">
        <is>
          <t>Amit</t>
        </is>
      </c>
      <c r="F35" t="n">
        <v>29</v>
      </c>
      <c r="G35" t="n">
        <v>119.88</v>
      </c>
      <c r="H35" t="inlineStr">
        <is>
          <t>Delivered</t>
        </is>
      </c>
    </row>
    <row r="36">
      <c r="A36" t="inlineStr">
        <is>
          <t>ORD0035</t>
        </is>
      </c>
      <c r="B36" t="n">
        <v>1006</v>
      </c>
      <c r="C36" t="inlineStr">
        <is>
          <t>Rajkot</t>
        </is>
      </c>
      <c r="D36" s="3" t="n">
        <v>46253</v>
      </c>
      <c r="E36" t="inlineStr">
        <is>
          <t>Mehul</t>
        </is>
      </c>
      <c r="F36" t="n">
        <v>38</v>
      </c>
      <c r="G36" t="n">
        <v>340.85</v>
      </c>
      <c r="H36" t="inlineStr">
        <is>
          <t>Delivered</t>
        </is>
      </c>
    </row>
    <row r="37">
      <c r="A37" t="inlineStr">
        <is>
          <t>ORD0036</t>
        </is>
      </c>
      <c r="B37" t="n">
        <v>1004</v>
      </c>
      <c r="C37" t="inlineStr">
        <is>
          <t>Gandhinagar</t>
        </is>
      </c>
      <c r="D37" s="3" t="n">
        <v>46255</v>
      </c>
      <c r="E37" t="inlineStr">
        <is>
          <t>Mehul</t>
        </is>
      </c>
      <c r="F37" t="n">
        <v>36</v>
      </c>
      <c r="G37" t="n">
        <v>41.05</v>
      </c>
      <c r="H37" t="inlineStr">
        <is>
          <t>Delivered</t>
        </is>
      </c>
    </row>
    <row r="38">
      <c r="A38" t="inlineStr">
        <is>
          <t>ORD0037</t>
        </is>
      </c>
      <c r="B38" t="n">
        <v>1001</v>
      </c>
      <c r="C38" t="inlineStr">
        <is>
          <t>Ahmedabad</t>
        </is>
      </c>
      <c r="D38" s="3" t="n">
        <v>46264</v>
      </c>
      <c r="E38" t="inlineStr">
        <is>
          <t>Mehul</t>
        </is>
      </c>
      <c r="F38" t="n">
        <v>37</v>
      </c>
      <c r="G38" t="n">
        <v>315.59</v>
      </c>
      <c r="H38" t="inlineStr">
        <is>
          <t>Delivered</t>
        </is>
      </c>
    </row>
    <row r="39">
      <c r="A39" t="inlineStr">
        <is>
          <t>ORD0038</t>
        </is>
      </c>
      <c r="B39" t="n">
        <v>1002</v>
      </c>
      <c r="C39" t="inlineStr">
        <is>
          <t>Ahmedabad</t>
        </is>
      </c>
      <c r="D39" s="3" t="n">
        <v>46264</v>
      </c>
      <c r="E39" t="inlineStr">
        <is>
          <t>Unassigned</t>
        </is>
      </c>
      <c r="F39" t="n">
        <v>39</v>
      </c>
      <c r="G39" t="n">
        <v>324.84</v>
      </c>
      <c r="H39" t="inlineStr">
        <is>
          <t>Delivered</t>
        </is>
      </c>
    </row>
    <row r="40">
      <c r="A40" t="inlineStr">
        <is>
          <t>ORD0039</t>
        </is>
      </c>
      <c r="B40" t="n">
        <v>1008</v>
      </c>
      <c r="C40" t="inlineStr">
        <is>
          <t>Vadodara</t>
        </is>
      </c>
      <c r="D40" s="3" t="n">
        <v>46248</v>
      </c>
      <c r="E40" t="inlineStr">
        <is>
          <t>Sneha</t>
        </is>
      </c>
      <c r="F40" t="n">
        <v>40</v>
      </c>
      <c r="G40" t="n">
        <v>83.33</v>
      </c>
      <c r="H40" t="inlineStr">
        <is>
          <t>Cancelled</t>
        </is>
      </c>
    </row>
    <row r="41">
      <c r="A41" t="inlineStr">
        <is>
          <t>ORD0040</t>
        </is>
      </c>
      <c r="B41" t="n">
        <v>1005</v>
      </c>
      <c r="C41" t="inlineStr">
        <is>
          <t>Surat</t>
        </is>
      </c>
      <c r="D41" s="3" t="n">
        <v>46252</v>
      </c>
      <c r="E41" t="inlineStr">
        <is>
          <t>Priya</t>
        </is>
      </c>
      <c r="F41" t="n">
        <v>41</v>
      </c>
      <c r="G41" t="n">
        <v>320.1</v>
      </c>
      <c r="H41" t="inlineStr">
        <is>
          <t>Cancelled</t>
        </is>
      </c>
    </row>
    <row r="42">
      <c r="A42" t="inlineStr">
        <is>
          <t>ORD0041</t>
        </is>
      </c>
      <c r="B42" t="n">
        <v>1005</v>
      </c>
      <c r="C42" t="inlineStr">
        <is>
          <t>Gandhinagar</t>
        </is>
      </c>
      <c r="D42" s="3" t="n">
        <v>46252</v>
      </c>
      <c r="E42" t="inlineStr">
        <is>
          <t>Priya</t>
        </is>
      </c>
      <c r="F42" t="n">
        <v>23</v>
      </c>
      <c r="G42" t="n">
        <v>79.73999999999999</v>
      </c>
      <c r="H42" t="inlineStr">
        <is>
          <t>Delivered</t>
        </is>
      </c>
    </row>
    <row r="43">
      <c r="A43" t="inlineStr">
        <is>
          <t>ORD0042</t>
        </is>
      </c>
      <c r="B43" t="n">
        <v>1005</v>
      </c>
      <c r="C43" t="inlineStr">
        <is>
          <t>Gandhinagar</t>
        </is>
      </c>
      <c r="D43" s="3" t="n">
        <v>46239</v>
      </c>
      <c r="E43" t="inlineStr">
        <is>
          <t>Unassigned</t>
        </is>
      </c>
      <c r="F43" t="n">
        <v>21</v>
      </c>
      <c r="G43" t="n">
        <v>119.73</v>
      </c>
      <c r="H43" t="inlineStr">
        <is>
          <t>Delivered</t>
        </is>
      </c>
    </row>
    <row r="44">
      <c r="A44" t="inlineStr">
        <is>
          <t>ORD0043</t>
        </is>
      </c>
      <c r="B44" t="n">
        <v>1003</v>
      </c>
      <c r="C44" t="inlineStr">
        <is>
          <t>Ahmedabad</t>
        </is>
      </c>
      <c r="D44" s="3" t="n">
        <v>46252</v>
      </c>
      <c r="E44" t="inlineStr">
        <is>
          <t>Unassigned</t>
        </is>
      </c>
      <c r="F44" t="n">
        <v>38</v>
      </c>
      <c r="G44" t="n">
        <v>288.43</v>
      </c>
      <c r="H44" t="inlineStr">
        <is>
          <t>Cancelled</t>
        </is>
      </c>
    </row>
    <row r="45">
      <c r="A45" t="inlineStr">
        <is>
          <t>ORD0044</t>
        </is>
      </c>
      <c r="B45" t="n">
        <v>1002</v>
      </c>
      <c r="C45" t="inlineStr">
        <is>
          <t>Vadodara</t>
        </is>
      </c>
      <c r="D45" s="3" t="n">
        <v>46241</v>
      </c>
      <c r="E45" t="inlineStr">
        <is>
          <t>Sneha</t>
        </is>
      </c>
      <c r="F45" t="n">
        <v>26</v>
      </c>
      <c r="G45" t="n">
        <v>323.5</v>
      </c>
      <c r="H45" t="inlineStr">
        <is>
          <t>Cancelled</t>
        </is>
      </c>
    </row>
    <row r="46">
      <c r="A46" t="inlineStr">
        <is>
          <t>ORD0045</t>
        </is>
      </c>
      <c r="B46" t="n">
        <v>1007</v>
      </c>
      <c r="C46" t="inlineStr">
        <is>
          <t>Gandhinagar</t>
        </is>
      </c>
      <c r="D46" s="3" t="n">
        <v>46236</v>
      </c>
      <c r="E46" t="inlineStr">
        <is>
          <t>Sneha</t>
        </is>
      </c>
      <c r="F46" t="n">
        <v>47</v>
      </c>
      <c r="G46" t="n">
        <v>290.48</v>
      </c>
      <c r="H46" t="inlineStr">
        <is>
          <t>Cancelled</t>
        </is>
      </c>
    </row>
    <row r="47">
      <c r="A47" t="inlineStr">
        <is>
          <t>ORD0046</t>
        </is>
      </c>
      <c r="B47" t="n">
        <v>1006</v>
      </c>
      <c r="C47" t="inlineStr">
        <is>
          <t>Surat</t>
        </is>
      </c>
      <c r="D47" s="3" t="n">
        <v>46244</v>
      </c>
      <c r="E47" t="inlineStr">
        <is>
          <t>Rahul</t>
        </is>
      </c>
      <c r="F47" t="n">
        <v>23</v>
      </c>
      <c r="G47" t="n">
        <v>75.76000000000001</v>
      </c>
      <c r="H47" t="inlineStr">
        <is>
          <t>Cancelled</t>
        </is>
      </c>
    </row>
    <row r="48">
      <c r="A48" t="inlineStr">
        <is>
          <t>ORD0047</t>
        </is>
      </c>
      <c r="B48" t="n">
        <v>1002</v>
      </c>
      <c r="C48" t="inlineStr">
        <is>
          <t>Surat</t>
        </is>
      </c>
      <c r="D48" s="3" t="n">
        <v>46253</v>
      </c>
      <c r="E48" t="inlineStr">
        <is>
          <t>Unassigned</t>
        </is>
      </c>
      <c r="F48" t="n">
        <v>35</v>
      </c>
      <c r="G48" t="n">
        <v>235.14</v>
      </c>
      <c r="H48" t="inlineStr">
        <is>
          <t>Delivered</t>
        </is>
      </c>
    </row>
    <row r="49">
      <c r="A49" t="inlineStr">
        <is>
          <t>ORD0048</t>
        </is>
      </c>
      <c r="B49" t="n">
        <v>1003</v>
      </c>
      <c r="C49" t="inlineStr">
        <is>
          <t>Gandhinagar</t>
        </is>
      </c>
      <c r="D49" s="3" t="n">
        <v>46260</v>
      </c>
      <c r="E49" t="inlineStr">
        <is>
          <t>Karan</t>
        </is>
      </c>
      <c r="F49" t="n">
        <v>52</v>
      </c>
      <c r="G49" t="n">
        <v>114.19</v>
      </c>
      <c r="H49" t="inlineStr">
        <is>
          <t>Delivered</t>
        </is>
      </c>
    </row>
    <row r="50">
      <c r="A50" t="inlineStr">
        <is>
          <t>ORD0049</t>
        </is>
      </c>
      <c r="B50" t="n">
        <v>1006</v>
      </c>
      <c r="C50" t="inlineStr">
        <is>
          <t>Rajkot</t>
        </is>
      </c>
      <c r="D50" s="3" t="n">
        <v>46249</v>
      </c>
      <c r="E50" t="inlineStr">
        <is>
          <t>Neha</t>
        </is>
      </c>
      <c r="F50" t="n">
        <v>43</v>
      </c>
      <c r="G50" t="n">
        <v>246.93</v>
      </c>
      <c r="H50" t="inlineStr">
        <is>
          <t>Cancelled</t>
        </is>
      </c>
    </row>
    <row r="51">
      <c r="A51" t="inlineStr">
        <is>
          <t>ORD0050</t>
        </is>
      </c>
      <c r="B51" t="n">
        <v>1009</v>
      </c>
      <c r="C51" t="inlineStr">
        <is>
          <t>Rajkot</t>
        </is>
      </c>
      <c r="D51" s="3" t="n">
        <v>46243</v>
      </c>
      <c r="E51" t="inlineStr">
        <is>
          <t>Priya</t>
        </is>
      </c>
      <c r="F51" t="n">
        <v>33</v>
      </c>
      <c r="G51" t="n">
        <v>109.88</v>
      </c>
      <c r="H51" t="inlineStr">
        <is>
          <t>Delivered</t>
        </is>
      </c>
    </row>
    <row r="52">
      <c r="A52" t="inlineStr">
        <is>
          <t>ORD0051</t>
        </is>
      </c>
      <c r="B52" t="n">
        <v>1005</v>
      </c>
      <c r="C52" t="inlineStr">
        <is>
          <t>Gandhinagar</t>
        </is>
      </c>
      <c r="D52" s="3" t="n">
        <v>46236</v>
      </c>
      <c r="E52" t="inlineStr">
        <is>
          <t>Priya</t>
        </is>
      </c>
      <c r="F52" t="n">
        <v>53</v>
      </c>
      <c r="G52" t="n">
        <v>114.85</v>
      </c>
      <c r="H52" t="inlineStr">
        <is>
          <t>Cancelled</t>
        </is>
      </c>
    </row>
    <row r="53">
      <c r="A53" t="inlineStr">
        <is>
          <t>ORD0052</t>
        </is>
      </c>
      <c r="B53" t="n">
        <v>1006</v>
      </c>
      <c r="C53" t="inlineStr">
        <is>
          <t>Ahmedabad</t>
        </is>
      </c>
      <c r="D53" s="3" t="n">
        <v>46253</v>
      </c>
      <c r="E53" t="inlineStr">
        <is>
          <t>Priya</t>
        </is>
      </c>
      <c r="F53" t="n">
        <v>40</v>
      </c>
      <c r="G53" t="n">
        <v>168.87</v>
      </c>
      <c r="H53" t="inlineStr">
        <is>
          <t>Delivered</t>
        </is>
      </c>
    </row>
    <row r="54">
      <c r="A54" t="inlineStr">
        <is>
          <t>ORD0053</t>
        </is>
      </c>
      <c r="B54" t="n">
        <v>1003</v>
      </c>
      <c r="C54" t="inlineStr">
        <is>
          <t>Ahmedabad</t>
        </is>
      </c>
      <c r="D54" s="3" t="n">
        <v>46252</v>
      </c>
      <c r="E54" t="inlineStr">
        <is>
          <t>Karan</t>
        </is>
      </c>
      <c r="F54" t="n">
        <v>24</v>
      </c>
      <c r="G54" t="n">
        <v>79.31</v>
      </c>
      <c r="H54" t="inlineStr">
        <is>
          <t>Delivered</t>
        </is>
      </c>
    </row>
    <row r="55">
      <c r="A55" t="inlineStr">
        <is>
          <t>ORD0054</t>
        </is>
      </c>
      <c r="B55" t="n">
        <v>1007</v>
      </c>
      <c r="C55" t="inlineStr">
        <is>
          <t>Surat</t>
        </is>
      </c>
      <c r="D55" s="3" t="n">
        <v>46238</v>
      </c>
      <c r="E55" t="inlineStr">
        <is>
          <t>Mehul</t>
        </is>
      </c>
      <c r="F55" t="n">
        <v>50</v>
      </c>
      <c r="G55" t="n">
        <v>241.19</v>
      </c>
      <c r="H55" t="inlineStr">
        <is>
          <t>Delivered</t>
        </is>
      </c>
    </row>
    <row r="56">
      <c r="A56" t="inlineStr">
        <is>
          <t>ORD0055</t>
        </is>
      </c>
      <c r="B56" t="n">
        <v>1001</v>
      </c>
      <c r="C56" t="inlineStr">
        <is>
          <t>Ahmedabad</t>
        </is>
      </c>
      <c r="D56" s="3" t="n">
        <v>46240</v>
      </c>
      <c r="E56" t="inlineStr">
        <is>
          <t>Unassigned</t>
        </is>
      </c>
      <c r="F56" t="n">
        <v>39</v>
      </c>
      <c r="G56" t="n">
        <v>88.92</v>
      </c>
      <c r="H56" t="inlineStr">
        <is>
          <t>Delivered</t>
        </is>
      </c>
    </row>
    <row r="57">
      <c r="A57" t="inlineStr">
        <is>
          <t>ORD0056</t>
        </is>
      </c>
      <c r="B57" t="n">
        <v>1009</v>
      </c>
      <c r="C57" t="inlineStr">
        <is>
          <t>Gandhinagar</t>
        </is>
      </c>
      <c r="D57" s="3" t="n">
        <v>46240</v>
      </c>
      <c r="E57" t="inlineStr">
        <is>
          <t>Amit</t>
        </is>
      </c>
      <c r="F57" t="n">
        <v>34</v>
      </c>
      <c r="G57" t="n">
        <v>154.95</v>
      </c>
      <c r="H57" t="inlineStr">
        <is>
          <t>Cancelled</t>
        </is>
      </c>
    </row>
    <row r="58">
      <c r="A58" t="inlineStr">
        <is>
          <t>ORD0057</t>
        </is>
      </c>
      <c r="B58" t="n">
        <v>1003</v>
      </c>
      <c r="C58" t="inlineStr">
        <is>
          <t>Surat</t>
        </is>
      </c>
      <c r="D58" s="3" t="n">
        <v>46257</v>
      </c>
      <c r="E58" t="inlineStr">
        <is>
          <t>Amit</t>
        </is>
      </c>
      <c r="F58" t="n">
        <v>50</v>
      </c>
      <c r="G58" t="n">
        <v>247.31</v>
      </c>
      <c r="H58" t="inlineStr">
        <is>
          <t>Cancelled</t>
        </is>
      </c>
    </row>
    <row r="59">
      <c r="A59" t="inlineStr">
        <is>
          <t>ORD0058</t>
        </is>
      </c>
      <c r="B59" t="n">
        <v>1009</v>
      </c>
      <c r="C59" t="inlineStr">
        <is>
          <t>Rajkot</t>
        </is>
      </c>
      <c r="D59" s="3" t="n">
        <v>46245</v>
      </c>
      <c r="E59" t="inlineStr">
        <is>
          <t>Mehul</t>
        </is>
      </c>
      <c r="F59" t="n">
        <v>32</v>
      </c>
      <c r="G59" t="n">
        <v>302.65</v>
      </c>
      <c r="H59" t="inlineStr">
        <is>
          <t>Delivered</t>
        </is>
      </c>
    </row>
    <row r="60">
      <c r="A60" t="inlineStr">
        <is>
          <t>ORD0059</t>
        </is>
      </c>
      <c r="B60" t="n">
        <v>1010</v>
      </c>
      <c r="C60" t="inlineStr">
        <is>
          <t>Ahmedabad</t>
        </is>
      </c>
      <c r="D60" s="3" t="n">
        <v>46246</v>
      </c>
      <c r="E60" t="inlineStr">
        <is>
          <t>Amit</t>
        </is>
      </c>
      <c r="F60" t="n">
        <v>18</v>
      </c>
      <c r="G60" t="n">
        <v>296.15</v>
      </c>
      <c r="H60" t="inlineStr">
        <is>
          <t>Cancelled</t>
        </is>
      </c>
    </row>
    <row r="61">
      <c r="A61" t="inlineStr">
        <is>
          <t>ORD0060</t>
        </is>
      </c>
      <c r="B61" t="n">
        <v>1006</v>
      </c>
      <c r="C61" t="inlineStr">
        <is>
          <t>Rajkot</t>
        </is>
      </c>
      <c r="D61" s="3" t="n">
        <v>46259</v>
      </c>
      <c r="E61" t="inlineStr">
        <is>
          <t>Amit</t>
        </is>
      </c>
      <c r="F61" t="n">
        <v>32</v>
      </c>
      <c r="G61" t="n">
        <v>305.23</v>
      </c>
      <c r="H61" t="inlineStr">
        <is>
          <t>Cancelled</t>
        </is>
      </c>
    </row>
    <row r="62">
      <c r="A62" t="inlineStr">
        <is>
          <t>ORD0061</t>
        </is>
      </c>
      <c r="B62" t="n">
        <v>1005</v>
      </c>
      <c r="C62" t="inlineStr">
        <is>
          <t>Ahmedabad</t>
        </is>
      </c>
      <c r="D62" s="3" t="n">
        <v>46253</v>
      </c>
      <c r="E62" t="inlineStr">
        <is>
          <t>Mehul</t>
        </is>
      </c>
      <c r="F62" t="n">
        <v>53</v>
      </c>
      <c r="G62" t="n">
        <v>124.76</v>
      </c>
      <c r="H62" t="inlineStr">
        <is>
          <t>Delivered</t>
        </is>
      </c>
    </row>
    <row r="63">
      <c r="A63" t="inlineStr">
        <is>
          <t>ORD0062</t>
        </is>
      </c>
      <c r="B63" t="n">
        <v>1007</v>
      </c>
      <c r="C63" t="inlineStr">
        <is>
          <t>Gandhinagar</t>
        </is>
      </c>
      <c r="D63" s="3" t="n">
        <v>46238</v>
      </c>
      <c r="E63" t="inlineStr">
        <is>
          <t>Rahul</t>
        </is>
      </c>
      <c r="F63" t="n">
        <v>40</v>
      </c>
      <c r="G63" t="n">
        <v>206.79</v>
      </c>
      <c r="H63" t="inlineStr">
        <is>
          <t>Delivered</t>
        </is>
      </c>
    </row>
    <row r="64">
      <c r="A64" t="inlineStr">
        <is>
          <t>ORD0063</t>
        </is>
      </c>
      <c r="B64" t="n">
        <v>1008</v>
      </c>
      <c r="C64" t="inlineStr">
        <is>
          <t>Ahmedabad</t>
        </is>
      </c>
      <c r="D64" s="3" t="n">
        <v>46249</v>
      </c>
      <c r="E64" t="inlineStr">
        <is>
          <t>Sneha</t>
        </is>
      </c>
      <c r="F64" t="n">
        <v>45</v>
      </c>
      <c r="G64" t="n">
        <v>62.83</v>
      </c>
      <c r="H64" t="inlineStr">
        <is>
          <t>Delivered</t>
        </is>
      </c>
    </row>
    <row r="65">
      <c r="A65" t="inlineStr">
        <is>
          <t>ORD0064</t>
        </is>
      </c>
      <c r="B65" t="n">
        <v>1008</v>
      </c>
      <c r="C65" t="inlineStr">
        <is>
          <t>Rajkot</t>
        </is>
      </c>
      <c r="D65" s="3" t="n">
        <v>46241</v>
      </c>
      <c r="E65" t="inlineStr">
        <is>
          <t>Karan</t>
        </is>
      </c>
      <c r="F65" t="n">
        <v>25</v>
      </c>
      <c r="G65" t="n">
        <v>230.01</v>
      </c>
      <c r="H65" t="inlineStr">
        <is>
          <t>Delivered</t>
        </is>
      </c>
    </row>
    <row r="66">
      <c r="A66" t="inlineStr">
        <is>
          <t>ORD0065</t>
        </is>
      </c>
      <c r="B66" t="n">
        <v>1005</v>
      </c>
      <c r="C66" t="inlineStr">
        <is>
          <t>Ahmedabad</t>
        </is>
      </c>
      <c r="D66" s="3" t="n">
        <v>46236</v>
      </c>
      <c r="E66" t="inlineStr">
        <is>
          <t>Unassigned</t>
        </is>
      </c>
      <c r="F66" t="n">
        <v>30</v>
      </c>
      <c r="G66" t="n">
        <v>137.82</v>
      </c>
      <c r="H66" t="inlineStr">
        <is>
          <t>Delivered</t>
        </is>
      </c>
    </row>
    <row r="67">
      <c r="A67" t="inlineStr">
        <is>
          <t>ORD0066</t>
        </is>
      </c>
      <c r="B67" t="n">
        <v>1008</v>
      </c>
      <c r="C67" t="inlineStr">
        <is>
          <t>Surat</t>
        </is>
      </c>
      <c r="D67" s="3" t="n">
        <v>46240</v>
      </c>
      <c r="E67" t="inlineStr">
        <is>
          <t>Amit</t>
        </is>
      </c>
      <c r="F67" t="n">
        <v>19</v>
      </c>
      <c r="G67" t="n">
        <v>347.62</v>
      </c>
      <c r="H67" t="inlineStr">
        <is>
          <t>Delivered</t>
        </is>
      </c>
    </row>
    <row r="68">
      <c r="A68" t="inlineStr">
        <is>
          <t>ORD0067</t>
        </is>
      </c>
      <c r="B68" t="n">
        <v>1005</v>
      </c>
      <c r="C68" t="inlineStr">
        <is>
          <t>Rajkot</t>
        </is>
      </c>
      <c r="D68" s="3" t="n">
        <v>46259</v>
      </c>
      <c r="E68" t="inlineStr">
        <is>
          <t>Unassigned</t>
        </is>
      </c>
      <c r="F68" t="n">
        <v>35</v>
      </c>
      <c r="G68" t="n">
        <v>135.21</v>
      </c>
      <c r="H68" t="inlineStr">
        <is>
          <t>Delivered</t>
        </is>
      </c>
    </row>
    <row r="69">
      <c r="A69" t="inlineStr">
        <is>
          <t>ORD0068</t>
        </is>
      </c>
      <c r="B69" t="n">
        <v>1005</v>
      </c>
      <c r="C69" t="inlineStr">
        <is>
          <t>Vadodara</t>
        </is>
      </c>
      <c r="D69" s="3" t="n">
        <v>46244</v>
      </c>
      <c r="E69" t="inlineStr">
        <is>
          <t>Amit</t>
        </is>
      </c>
      <c r="F69" t="n">
        <v>53</v>
      </c>
      <c r="G69" t="n">
        <v>185.36</v>
      </c>
      <c r="H69" t="inlineStr">
        <is>
          <t>Delivered</t>
        </is>
      </c>
    </row>
    <row r="70">
      <c r="A70" t="inlineStr">
        <is>
          <t>ORD0069</t>
        </is>
      </c>
      <c r="B70" t="n">
        <v>1003</v>
      </c>
      <c r="C70" t="inlineStr">
        <is>
          <t>Surat</t>
        </is>
      </c>
      <c r="D70" s="3" t="n">
        <v>46248</v>
      </c>
      <c r="E70" t="inlineStr">
        <is>
          <t>Sneha</t>
        </is>
      </c>
      <c r="F70" t="n">
        <v>27</v>
      </c>
      <c r="G70" t="n">
        <v>63.16</v>
      </c>
      <c r="H70" t="inlineStr">
        <is>
          <t>Delivered</t>
        </is>
      </c>
    </row>
    <row r="71">
      <c r="A71" t="inlineStr">
        <is>
          <t>ORD0070</t>
        </is>
      </c>
      <c r="B71" t="n">
        <v>1006</v>
      </c>
      <c r="C71" t="inlineStr">
        <is>
          <t>Ahmedabad</t>
        </is>
      </c>
      <c r="D71" s="3" t="n">
        <v>46260</v>
      </c>
      <c r="E71" t="inlineStr">
        <is>
          <t>Unassigned</t>
        </is>
      </c>
      <c r="F71" t="n">
        <v>51</v>
      </c>
      <c r="G71" t="n">
        <v>230.02</v>
      </c>
      <c r="H71" t="inlineStr">
        <is>
          <t>Cancelled</t>
        </is>
      </c>
    </row>
    <row r="72">
      <c r="A72" t="inlineStr">
        <is>
          <t>ORD0071</t>
        </is>
      </c>
      <c r="B72" t="n">
        <v>1004</v>
      </c>
      <c r="C72" t="inlineStr">
        <is>
          <t>Ahmedabad</t>
        </is>
      </c>
      <c r="D72" s="3" t="n">
        <v>46241</v>
      </c>
      <c r="E72" t="inlineStr">
        <is>
          <t>Neha</t>
        </is>
      </c>
      <c r="F72" t="n">
        <v>37</v>
      </c>
      <c r="G72" t="n">
        <v>53.77</v>
      </c>
      <c r="H72" t="inlineStr">
        <is>
          <t>Delivered</t>
        </is>
      </c>
    </row>
    <row r="73">
      <c r="A73" t="inlineStr">
        <is>
          <t>ORD0072</t>
        </is>
      </c>
      <c r="B73" t="n">
        <v>1008</v>
      </c>
      <c r="C73" t="inlineStr">
        <is>
          <t>Ahmedabad</t>
        </is>
      </c>
      <c r="D73" s="3" t="n">
        <v>46252</v>
      </c>
      <c r="E73" t="inlineStr">
        <is>
          <t>Mehul</t>
        </is>
      </c>
      <c r="F73" t="n">
        <v>32</v>
      </c>
      <c r="G73" t="n">
        <v>74.58</v>
      </c>
      <c r="H73" t="inlineStr">
        <is>
          <t>Delivered</t>
        </is>
      </c>
    </row>
    <row r="74">
      <c r="A74" t="inlineStr">
        <is>
          <t>ORD0073</t>
        </is>
      </c>
      <c r="B74" t="n">
        <v>1006</v>
      </c>
      <c r="C74" t="inlineStr">
        <is>
          <t>Rajkot</t>
        </is>
      </c>
      <c r="D74" s="3" t="n">
        <v>46240</v>
      </c>
      <c r="E74" t="inlineStr">
        <is>
          <t>Neha</t>
        </is>
      </c>
      <c r="F74" t="n">
        <v>34</v>
      </c>
      <c r="G74" t="n">
        <v>243.86</v>
      </c>
      <c r="H74" t="inlineStr">
        <is>
          <t>Delivered</t>
        </is>
      </c>
    </row>
    <row r="75">
      <c r="A75" t="inlineStr">
        <is>
          <t>ORD0074</t>
        </is>
      </c>
      <c r="B75" t="n">
        <v>1010</v>
      </c>
      <c r="C75" t="inlineStr">
        <is>
          <t>Rajkot</t>
        </is>
      </c>
      <c r="D75" s="3" t="n">
        <v>46256</v>
      </c>
      <c r="E75" t="inlineStr">
        <is>
          <t>Sneha</t>
        </is>
      </c>
      <c r="F75" t="n">
        <v>25</v>
      </c>
      <c r="G75" t="n">
        <v>277.4</v>
      </c>
      <c r="H75" t="inlineStr">
        <is>
          <t>Delivered</t>
        </is>
      </c>
    </row>
    <row r="76">
      <c r="A76" t="inlineStr">
        <is>
          <t>ORD0075</t>
        </is>
      </c>
      <c r="B76" t="n">
        <v>1003</v>
      </c>
      <c r="C76" t="inlineStr">
        <is>
          <t>Vadodara</t>
        </is>
      </c>
      <c r="D76" s="3" t="n">
        <v>46239</v>
      </c>
      <c r="E76" t="inlineStr">
        <is>
          <t>Amit</t>
        </is>
      </c>
      <c r="F76" t="n">
        <v>36</v>
      </c>
      <c r="G76" t="n">
        <v>340.75</v>
      </c>
      <c r="H76" t="inlineStr">
        <is>
          <t>Delivered</t>
        </is>
      </c>
    </row>
    <row r="77">
      <c r="A77" t="inlineStr">
        <is>
          <t>ORD0076</t>
        </is>
      </c>
      <c r="B77" t="n">
        <v>1006</v>
      </c>
      <c r="C77" t="inlineStr">
        <is>
          <t>Vadodara</t>
        </is>
      </c>
      <c r="D77" s="3" t="n">
        <v>46254</v>
      </c>
      <c r="E77" t="inlineStr">
        <is>
          <t>Amit</t>
        </is>
      </c>
      <c r="F77" t="n">
        <v>37</v>
      </c>
      <c r="G77" t="n">
        <v>249.56</v>
      </c>
      <c r="H77" t="inlineStr">
        <is>
          <t>Delivered</t>
        </is>
      </c>
    </row>
    <row r="78">
      <c r="A78" t="inlineStr">
        <is>
          <t>ORD0077</t>
        </is>
      </c>
      <c r="B78" t="n">
        <v>1004</v>
      </c>
      <c r="C78" t="inlineStr">
        <is>
          <t>Surat</t>
        </is>
      </c>
      <c r="D78" s="3" t="n">
        <v>46239</v>
      </c>
      <c r="E78" t="inlineStr">
        <is>
          <t>Neha</t>
        </is>
      </c>
      <c r="F78" t="n">
        <v>38</v>
      </c>
      <c r="G78" t="n">
        <v>118.5</v>
      </c>
      <c r="H78" t="inlineStr">
        <is>
          <t>Delivered</t>
        </is>
      </c>
    </row>
    <row r="79">
      <c r="A79" t="inlineStr">
        <is>
          <t>ORD0078</t>
        </is>
      </c>
      <c r="B79" t="n">
        <v>1004</v>
      </c>
      <c r="C79" t="inlineStr">
        <is>
          <t>Ahmedabad</t>
        </is>
      </c>
      <c r="D79" s="3" t="n">
        <v>46253</v>
      </c>
      <c r="E79" t="inlineStr">
        <is>
          <t>Unassigned</t>
        </is>
      </c>
      <c r="F79" t="n">
        <v>55</v>
      </c>
      <c r="G79" t="n">
        <v>130.92</v>
      </c>
      <c r="H79" t="inlineStr">
        <is>
          <t>Delivered</t>
        </is>
      </c>
    </row>
    <row r="80">
      <c r="A80" t="inlineStr">
        <is>
          <t>ORD0079</t>
        </is>
      </c>
      <c r="B80" t="n">
        <v>1007</v>
      </c>
      <c r="C80" t="inlineStr">
        <is>
          <t>Ahmedabad</t>
        </is>
      </c>
      <c r="D80" s="3" t="n">
        <v>46259</v>
      </c>
      <c r="E80" t="inlineStr">
        <is>
          <t>Rahul</t>
        </is>
      </c>
      <c r="F80" t="n">
        <v>19</v>
      </c>
      <c r="G80" t="n">
        <v>252.32</v>
      </c>
      <c r="H80" t="inlineStr">
        <is>
          <t>Cancelled</t>
        </is>
      </c>
    </row>
    <row r="81">
      <c r="A81" t="inlineStr">
        <is>
          <t>ORD0080</t>
        </is>
      </c>
      <c r="B81" t="n">
        <v>1008</v>
      </c>
      <c r="C81" t="inlineStr">
        <is>
          <t>Rajkot</t>
        </is>
      </c>
      <c r="D81" s="3" t="n">
        <v>46251</v>
      </c>
      <c r="E81" t="inlineStr">
        <is>
          <t>Neha</t>
        </is>
      </c>
      <c r="F81" t="n">
        <v>50</v>
      </c>
      <c r="G81" t="n">
        <v>277.19</v>
      </c>
      <c r="H81" t="inlineStr">
        <is>
          <t>Delivered</t>
        </is>
      </c>
    </row>
    <row r="82">
      <c r="A82" t="inlineStr">
        <is>
          <t>ORD0081</t>
        </is>
      </c>
      <c r="B82" t="n">
        <v>1006</v>
      </c>
      <c r="C82" t="inlineStr">
        <is>
          <t>Vadodara</t>
        </is>
      </c>
      <c r="D82" s="3" t="n">
        <v>46236</v>
      </c>
      <c r="E82" t="inlineStr">
        <is>
          <t>Mehul</t>
        </is>
      </c>
      <c r="F82" t="n">
        <v>28</v>
      </c>
      <c r="G82" t="n">
        <v>66.56</v>
      </c>
      <c r="H82" t="inlineStr">
        <is>
          <t>Cancelled</t>
        </is>
      </c>
    </row>
    <row r="83">
      <c r="A83" t="inlineStr">
        <is>
          <t>ORD0082</t>
        </is>
      </c>
      <c r="B83" t="n">
        <v>1004</v>
      </c>
      <c r="C83" t="inlineStr">
        <is>
          <t>Gandhinagar</t>
        </is>
      </c>
      <c r="D83" s="3" t="n">
        <v>46251</v>
      </c>
      <c r="E83" t="inlineStr">
        <is>
          <t>Mehul</t>
        </is>
      </c>
      <c r="F83" t="n">
        <v>32</v>
      </c>
      <c r="G83" t="n">
        <v>341.61</v>
      </c>
      <c r="H83" t="inlineStr">
        <is>
          <t>Delivered</t>
        </is>
      </c>
    </row>
    <row r="84">
      <c r="A84" t="inlineStr">
        <is>
          <t>ORD0083</t>
        </is>
      </c>
      <c r="B84" t="n">
        <v>1010</v>
      </c>
      <c r="C84" t="inlineStr">
        <is>
          <t>Vadodara</t>
        </is>
      </c>
      <c r="D84" s="3" t="n">
        <v>46256</v>
      </c>
      <c r="E84" t="inlineStr">
        <is>
          <t>Rahul</t>
        </is>
      </c>
      <c r="F84" t="n">
        <v>50</v>
      </c>
      <c r="G84" t="n">
        <v>59.87</v>
      </c>
      <c r="H84" t="inlineStr">
        <is>
          <t>Delivered</t>
        </is>
      </c>
    </row>
    <row r="85">
      <c r="A85" t="inlineStr">
        <is>
          <t>ORD0084</t>
        </is>
      </c>
      <c r="B85" t="n">
        <v>1001</v>
      </c>
      <c r="C85" t="inlineStr">
        <is>
          <t>Vadodara</t>
        </is>
      </c>
      <c r="D85" s="3" t="n">
        <v>46265</v>
      </c>
      <c r="E85" t="inlineStr">
        <is>
          <t>Sneha</t>
        </is>
      </c>
      <c r="F85" t="n">
        <v>42</v>
      </c>
      <c r="G85" t="n">
        <v>72.25</v>
      </c>
      <c r="H85" t="inlineStr">
        <is>
          <t>Cancelled</t>
        </is>
      </c>
    </row>
    <row r="86">
      <c r="A86" t="inlineStr">
        <is>
          <t>ORD0085</t>
        </is>
      </c>
      <c r="B86" t="n">
        <v>1009</v>
      </c>
      <c r="C86" t="inlineStr">
        <is>
          <t>Gandhinagar</t>
        </is>
      </c>
      <c r="D86" s="3" t="n">
        <v>46238</v>
      </c>
      <c r="E86" t="inlineStr">
        <is>
          <t>Mehul</t>
        </is>
      </c>
      <c r="F86" t="n">
        <v>25</v>
      </c>
      <c r="G86" t="n">
        <v>333.82</v>
      </c>
      <c r="H86" t="inlineStr">
        <is>
          <t>Delivered</t>
        </is>
      </c>
    </row>
    <row r="87">
      <c r="A87" t="inlineStr">
        <is>
          <t>ORD0086</t>
        </is>
      </c>
      <c r="B87" t="n">
        <v>1007</v>
      </c>
      <c r="C87" t="inlineStr">
        <is>
          <t>Surat</t>
        </is>
      </c>
      <c r="D87" s="3" t="n">
        <v>46242</v>
      </c>
      <c r="E87" t="inlineStr">
        <is>
          <t>Neha</t>
        </is>
      </c>
      <c r="F87" t="n">
        <v>24</v>
      </c>
      <c r="G87" t="n">
        <v>347.46</v>
      </c>
      <c r="H87" t="inlineStr">
        <is>
          <t>Delivered</t>
        </is>
      </c>
    </row>
    <row r="88">
      <c r="A88" t="inlineStr">
        <is>
          <t>ORD0087</t>
        </is>
      </c>
      <c r="B88" t="n">
        <v>1010</v>
      </c>
      <c r="C88" t="inlineStr">
        <is>
          <t>Rajkot</t>
        </is>
      </c>
      <c r="D88" s="3" t="n">
        <v>46245</v>
      </c>
      <c r="E88" t="inlineStr">
        <is>
          <t>Karan</t>
        </is>
      </c>
      <c r="F88" t="n">
        <v>41</v>
      </c>
      <c r="G88" t="n">
        <v>264.08</v>
      </c>
      <c r="H88" t="inlineStr">
        <is>
          <t>Delivered</t>
        </is>
      </c>
    </row>
    <row r="89">
      <c r="A89" t="inlineStr">
        <is>
          <t>ORD0088</t>
        </is>
      </c>
      <c r="B89" t="n">
        <v>1006</v>
      </c>
      <c r="C89" t="inlineStr">
        <is>
          <t>Vadodara</t>
        </is>
      </c>
      <c r="D89" s="3" t="n">
        <v>46243</v>
      </c>
      <c r="E89" t="inlineStr">
        <is>
          <t>Amit</t>
        </is>
      </c>
      <c r="F89" t="n">
        <v>35</v>
      </c>
      <c r="G89" t="n">
        <v>269.23</v>
      </c>
      <c r="H89" t="inlineStr">
        <is>
          <t>Delivered</t>
        </is>
      </c>
    </row>
    <row r="90">
      <c r="A90" t="inlineStr">
        <is>
          <t>ORD0089</t>
        </is>
      </c>
      <c r="B90" t="n">
        <v>1005</v>
      </c>
      <c r="C90" t="inlineStr">
        <is>
          <t>Rajkot</t>
        </is>
      </c>
      <c r="D90" s="3" t="n">
        <v>46252</v>
      </c>
      <c r="E90" t="inlineStr">
        <is>
          <t>Neha</t>
        </is>
      </c>
      <c r="F90" t="n">
        <v>24</v>
      </c>
      <c r="G90" t="n">
        <v>192.77</v>
      </c>
      <c r="H90" t="inlineStr">
        <is>
          <t>Delivered</t>
        </is>
      </c>
    </row>
    <row r="91">
      <c r="A91" t="inlineStr">
        <is>
          <t>ORD0090</t>
        </is>
      </c>
      <c r="B91" t="n">
        <v>1003</v>
      </c>
      <c r="C91" t="inlineStr">
        <is>
          <t>Surat</t>
        </is>
      </c>
      <c r="D91" s="3" t="n">
        <v>46257</v>
      </c>
      <c r="E91" t="inlineStr">
        <is>
          <t>Sneha</t>
        </is>
      </c>
      <c r="F91" t="n">
        <v>23</v>
      </c>
      <c r="G91" t="n">
        <v>293.09</v>
      </c>
      <c r="H91" t="inlineStr">
        <is>
          <t>Cancelled</t>
        </is>
      </c>
    </row>
    <row r="92">
      <c r="A92" t="inlineStr">
        <is>
          <t>ORD0091</t>
        </is>
      </c>
      <c r="B92" t="n">
        <v>1008</v>
      </c>
      <c r="C92" t="inlineStr">
        <is>
          <t>Rajkot</t>
        </is>
      </c>
      <c r="D92" s="3" t="n">
        <v>46251</v>
      </c>
      <c r="E92" t="inlineStr">
        <is>
          <t>Unassigned</t>
        </is>
      </c>
      <c r="F92" t="n">
        <v>23</v>
      </c>
      <c r="G92" t="n">
        <v>287.76</v>
      </c>
      <c r="H92" t="inlineStr">
        <is>
          <t>Cancelled</t>
        </is>
      </c>
    </row>
    <row r="93">
      <c r="A93" t="inlineStr">
        <is>
          <t>ORD0092</t>
        </is>
      </c>
      <c r="B93" t="n">
        <v>1002</v>
      </c>
      <c r="C93" t="inlineStr">
        <is>
          <t>Rajkot</t>
        </is>
      </c>
      <c r="D93" s="3" t="n">
        <v>46244</v>
      </c>
      <c r="E93" t="inlineStr">
        <is>
          <t>Karan</t>
        </is>
      </c>
      <c r="F93" t="n">
        <v>27</v>
      </c>
      <c r="G93" t="n">
        <v>288.46</v>
      </c>
      <c r="H93" t="inlineStr">
        <is>
          <t>Cancelled</t>
        </is>
      </c>
    </row>
    <row r="94">
      <c r="A94" t="inlineStr">
        <is>
          <t>ORD0093</t>
        </is>
      </c>
      <c r="B94" t="n">
        <v>1009</v>
      </c>
      <c r="C94" t="inlineStr">
        <is>
          <t>Vadodara</t>
        </is>
      </c>
      <c r="D94" s="3" t="n">
        <v>46249</v>
      </c>
      <c r="E94" t="inlineStr">
        <is>
          <t>Sneha</t>
        </is>
      </c>
      <c r="F94" t="n">
        <v>43</v>
      </c>
      <c r="G94" t="n">
        <v>169.98</v>
      </c>
      <c r="H94" t="inlineStr">
        <is>
          <t>Cancelled</t>
        </is>
      </c>
    </row>
    <row r="95">
      <c r="A95" t="inlineStr">
        <is>
          <t>ORD0094</t>
        </is>
      </c>
      <c r="B95" t="n">
        <v>1006</v>
      </c>
      <c r="C95" t="inlineStr">
        <is>
          <t>Rajkot</t>
        </is>
      </c>
      <c r="D95" s="3" t="n">
        <v>46263</v>
      </c>
      <c r="E95" t="inlineStr">
        <is>
          <t>Amit</t>
        </is>
      </c>
      <c r="F95" t="n">
        <v>48</v>
      </c>
      <c r="G95" t="n">
        <v>336.09</v>
      </c>
      <c r="H95" t="inlineStr">
        <is>
          <t>Delivered</t>
        </is>
      </c>
    </row>
    <row r="96">
      <c r="A96" t="inlineStr">
        <is>
          <t>ORD0095</t>
        </is>
      </c>
      <c r="B96" t="n">
        <v>1006</v>
      </c>
      <c r="C96" t="inlineStr">
        <is>
          <t>Ahmedabad</t>
        </is>
      </c>
      <c r="D96" s="3" t="n">
        <v>46258</v>
      </c>
      <c r="E96" t="inlineStr">
        <is>
          <t>Mehul</t>
        </is>
      </c>
      <c r="F96" t="n">
        <v>20</v>
      </c>
      <c r="G96" t="n">
        <v>189.98</v>
      </c>
      <c r="H96" t="inlineStr">
        <is>
          <t>Delivered</t>
        </is>
      </c>
    </row>
    <row r="97">
      <c r="A97" t="inlineStr">
        <is>
          <t>ORD0096</t>
        </is>
      </c>
      <c r="B97" t="n">
        <v>1007</v>
      </c>
      <c r="C97" t="inlineStr">
        <is>
          <t>Ahmedabad</t>
        </is>
      </c>
      <c r="D97" s="3" t="n">
        <v>46262</v>
      </c>
      <c r="E97" t="inlineStr">
        <is>
          <t>Priya</t>
        </is>
      </c>
      <c r="F97" t="n">
        <v>43</v>
      </c>
      <c r="G97" t="n">
        <v>147.7</v>
      </c>
      <c r="H97" t="inlineStr">
        <is>
          <t>Delivered</t>
        </is>
      </c>
    </row>
    <row r="98">
      <c r="A98" t="inlineStr">
        <is>
          <t>ORD0097</t>
        </is>
      </c>
      <c r="B98" t="n">
        <v>1001</v>
      </c>
      <c r="C98" t="inlineStr">
        <is>
          <t>Rajkot</t>
        </is>
      </c>
      <c r="D98" s="3" t="n">
        <v>46240</v>
      </c>
      <c r="E98" t="inlineStr">
        <is>
          <t>Priya</t>
        </is>
      </c>
      <c r="F98" t="n">
        <v>40</v>
      </c>
      <c r="G98" t="n">
        <v>106.68</v>
      </c>
      <c r="H98" t="inlineStr">
        <is>
          <t>Delivered</t>
        </is>
      </c>
    </row>
    <row r="99">
      <c r="A99" t="inlineStr">
        <is>
          <t>ORD0098</t>
        </is>
      </c>
      <c r="B99" t="n">
        <v>1001</v>
      </c>
      <c r="C99" t="inlineStr">
        <is>
          <t>Vadodara</t>
        </is>
      </c>
      <c r="D99" s="3" t="n">
        <v>46237</v>
      </c>
      <c r="E99" t="inlineStr">
        <is>
          <t>Rahul</t>
        </is>
      </c>
      <c r="F99" t="n">
        <v>23</v>
      </c>
      <c r="G99" t="n">
        <v>274.31</v>
      </c>
      <c r="H99" t="inlineStr">
        <is>
          <t>Cancelled</t>
        </is>
      </c>
    </row>
    <row r="100">
      <c r="A100" t="inlineStr">
        <is>
          <t>ORD0099</t>
        </is>
      </c>
      <c r="B100" t="n">
        <v>1010</v>
      </c>
      <c r="C100" t="inlineStr">
        <is>
          <t>Gandhinagar</t>
        </is>
      </c>
      <c r="D100" s="3" t="n">
        <v>46256</v>
      </c>
      <c r="E100" t="inlineStr">
        <is>
          <t>Neha</t>
        </is>
      </c>
      <c r="F100" t="n">
        <v>54</v>
      </c>
      <c r="G100" t="n">
        <v>283.03</v>
      </c>
      <c r="H100" t="inlineStr">
        <is>
          <t>Delivered</t>
        </is>
      </c>
    </row>
    <row r="101">
      <c r="A101" t="inlineStr">
        <is>
          <t>ORD0100</t>
        </is>
      </c>
      <c r="B101" t="n">
        <v>1009</v>
      </c>
      <c r="C101" t="inlineStr">
        <is>
          <t>Ahmedabad</t>
        </is>
      </c>
      <c r="D101" s="3" t="n">
        <v>46253</v>
      </c>
      <c r="E101" t="inlineStr">
        <is>
          <t>Amit</t>
        </is>
      </c>
      <c r="F101" t="n">
        <v>52</v>
      </c>
      <c r="G101" t="n">
        <v>136.31</v>
      </c>
      <c r="H101" t="inlineStr">
        <is>
          <t>Cancelled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5" customWidth="1" min="1" max="1"/>
    <col width="17" customWidth="1" min="2" max="2"/>
    <col width="17" customWidth="1" min="3" max="3"/>
  </cols>
  <sheetData>
    <row r="1">
      <c r="A1" s="1" t="inlineStr">
        <is>
          <t>Restaurant ID</t>
        </is>
      </c>
      <c r="B1" s="1" t="inlineStr">
        <is>
          <t>Restaurant Name</t>
        </is>
      </c>
      <c r="C1" s="1" t="inlineStr">
        <is>
          <t>Restaurant City</t>
        </is>
      </c>
    </row>
    <row r="2">
      <c r="A2" t="n">
        <v>1001</v>
      </c>
      <c r="B2" t="inlineStr">
        <is>
          <t>Spice Hub</t>
        </is>
      </c>
      <c r="C2" t="inlineStr">
        <is>
          <t>Ahmedabad</t>
        </is>
      </c>
    </row>
    <row r="3">
      <c r="A3" t="n">
        <v>1002</v>
      </c>
      <c r="B3" t="inlineStr">
        <is>
          <t>Urban Bites</t>
        </is>
      </c>
      <c r="C3" t="inlineStr">
        <is>
          <t>Surat</t>
        </is>
      </c>
    </row>
    <row r="4">
      <c r="A4" t="n">
        <v>1003</v>
      </c>
      <c r="B4" t="inlineStr">
        <is>
          <t>Green Leaf Cafe</t>
        </is>
      </c>
      <c r="C4" t="inlineStr">
        <is>
          <t>Vadodara</t>
        </is>
      </c>
    </row>
    <row r="5">
      <c r="A5" t="n">
        <v>1004</v>
      </c>
      <c r="B5" t="inlineStr">
        <is>
          <t>Royal Thali</t>
        </is>
      </c>
      <c r="C5" t="inlineStr">
        <is>
          <t>Ahmedabad</t>
        </is>
      </c>
    </row>
    <row r="6">
      <c r="A6" t="n">
        <v>1005</v>
      </c>
      <c r="B6" t="inlineStr">
        <is>
          <t>Pizza Point</t>
        </is>
      </c>
      <c r="C6" t="inlineStr">
        <is>
          <t>Rajkot</t>
        </is>
      </c>
    </row>
    <row r="7">
      <c r="A7" t="n">
        <v>1006</v>
      </c>
      <c r="B7" t="inlineStr">
        <is>
          <t>Dosa House</t>
        </is>
      </c>
      <c r="C7" t="inlineStr">
        <is>
          <t>Gandhinagar</t>
        </is>
      </c>
    </row>
    <row r="8">
      <c r="A8" t="n">
        <v>1007</v>
      </c>
      <c r="B8" t="inlineStr">
        <is>
          <t>Burger Street</t>
        </is>
      </c>
      <c r="C8" t="inlineStr">
        <is>
          <t>Ahmedabad</t>
        </is>
      </c>
    </row>
    <row r="9">
      <c r="A9" t="n">
        <v>1008</v>
      </c>
      <c r="B9" t="inlineStr">
        <is>
          <t>The Curry Bowl</t>
        </is>
      </c>
      <c r="C9" t="inlineStr">
        <is>
          <t>Surat</t>
        </is>
      </c>
    </row>
    <row r="10">
      <c r="A10" t="n">
        <v>1009</v>
      </c>
      <c r="B10" t="inlineStr">
        <is>
          <t>Chai &amp; Snacks</t>
        </is>
      </c>
      <c r="C10" t="inlineStr">
        <is>
          <t>Vadodara</t>
        </is>
      </c>
    </row>
    <row r="11">
      <c r="A11" t="n">
        <v>1010</v>
      </c>
      <c r="B11" t="inlineStr">
        <is>
          <t>Food Junction</t>
        </is>
      </c>
      <c r="C11" t="inlineStr">
        <is>
          <t>Gandhinagar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0" customWidth="1" min="1" max="1"/>
    <col width="15" customWidth="1" min="2" max="2"/>
    <col width="13" customWidth="1" min="3" max="3"/>
    <col width="21" customWidth="1" min="4" max="4"/>
    <col width="18" customWidth="1" min="5" max="5"/>
    <col width="21" customWidth="1" min="6" max="6"/>
    <col width="17" customWidth="1" min="7" max="7"/>
    <col width="11" customWidth="1" min="8" max="8"/>
    <col width="35" customWidth="1" min="9" max="9"/>
  </cols>
  <sheetData>
    <row r="1">
      <c r="A1" s="1" t="inlineStr">
        <is>
          <t>Order ID</t>
        </is>
      </c>
      <c r="B1" s="1" t="inlineStr">
        <is>
          <t>Restaurant ID</t>
        </is>
      </c>
      <c r="C1" s="1" t="inlineStr">
        <is>
          <t>City</t>
        </is>
      </c>
      <c r="D1" s="1" t="inlineStr">
        <is>
          <t>Delivery Date</t>
        </is>
      </c>
      <c r="E1" s="1" t="inlineStr">
        <is>
          <t>Delivery Partner</t>
        </is>
      </c>
      <c r="F1" s="1" t="inlineStr">
        <is>
          <t>Delivery Time (min)</t>
        </is>
      </c>
      <c r="G1" s="1" t="inlineStr">
        <is>
          <t>Delivery Charge</t>
        </is>
      </c>
      <c r="H1" s="1" t="inlineStr">
        <is>
          <t>Status</t>
        </is>
      </c>
      <c r="I1" s="1" t="inlineStr">
        <is>
          <t>Restaurant Name</t>
        </is>
      </c>
    </row>
    <row r="2">
      <c r="A2" t="inlineStr">
        <is>
          <t>ORD0001</t>
        </is>
      </c>
      <c r="B2" t="n">
        <v>1003</v>
      </c>
      <c r="C2" t="inlineStr">
        <is>
          <t>Surat</t>
        </is>
      </c>
      <c r="D2" s="3" t="n">
        <v>46235</v>
      </c>
      <c r="E2" t="inlineStr">
        <is>
          <t>Unassigned</t>
        </is>
      </c>
      <c r="F2" t="n">
        <v>29</v>
      </c>
      <c r="G2" t="n">
        <v>257.61</v>
      </c>
      <c r="H2" t="inlineStr">
        <is>
          <t>Delivered</t>
        </is>
      </c>
      <c r="I2">
        <f>XLOOKUP(B2,'02_Restaurant_Details'!$A$2:$A$11,'02_Restaurant_Details'!$B$2:$B$11,"Not Found")</f>
        <v/>
      </c>
    </row>
    <row r="3">
      <c r="A3" t="inlineStr">
        <is>
          <t>ORD0002</t>
        </is>
      </c>
      <c r="B3" t="n">
        <v>1002</v>
      </c>
      <c r="C3" t="inlineStr">
        <is>
          <t>Surat</t>
        </is>
      </c>
      <c r="D3" s="3" t="n">
        <v>46243</v>
      </c>
      <c r="E3" t="inlineStr">
        <is>
          <t>Rahul</t>
        </is>
      </c>
      <c r="F3" t="n">
        <v>38</v>
      </c>
      <c r="G3" t="n">
        <v>342.59</v>
      </c>
      <c r="H3" t="inlineStr">
        <is>
          <t>Delivered</t>
        </is>
      </c>
      <c r="I3">
        <f>XLOOKUP(B3,'02_Restaurant_Details'!$A$2:$A$11,'02_Restaurant_Details'!$B$2:$B$11,"Not Found")</f>
        <v/>
      </c>
    </row>
    <row r="4">
      <c r="A4" t="inlineStr">
        <is>
          <t>ORD0003</t>
        </is>
      </c>
      <c r="B4" t="n">
        <v>1009</v>
      </c>
      <c r="C4" t="inlineStr">
        <is>
          <t>Rajkot</t>
        </is>
      </c>
      <c r="D4" s="3" t="n">
        <v>46257</v>
      </c>
      <c r="E4" t="inlineStr">
        <is>
          <t>Rahul</t>
        </is>
      </c>
      <c r="F4" t="n">
        <v>54</v>
      </c>
      <c r="G4" t="n">
        <v>313.22</v>
      </c>
      <c r="H4" t="inlineStr">
        <is>
          <t>Delivered</t>
        </is>
      </c>
      <c r="I4">
        <f>XLOOKUP(B4,'02_Restaurant_Details'!$A$2:$A$11,'02_Restaurant_Details'!$B$2:$B$11,"Not Found")</f>
        <v/>
      </c>
    </row>
    <row r="5">
      <c r="A5" t="inlineStr">
        <is>
          <t>ORD0004</t>
        </is>
      </c>
      <c r="B5" t="n">
        <v>1005</v>
      </c>
      <c r="C5" t="inlineStr">
        <is>
          <t>Rajkot</t>
        </is>
      </c>
      <c r="D5" s="3" t="n">
        <v>46241</v>
      </c>
      <c r="E5" t="inlineStr">
        <is>
          <t>Neha</t>
        </is>
      </c>
      <c r="F5" t="n">
        <v>25</v>
      </c>
      <c r="G5" t="n">
        <v>220.68</v>
      </c>
      <c r="H5" t="inlineStr">
        <is>
          <t>Delivered</t>
        </is>
      </c>
      <c r="I5">
        <f>XLOOKUP(B5,'02_Restaurant_Details'!$A$2:$A$11,'02_Restaurant_Details'!$B$2:$B$11,"Not Found")</f>
        <v/>
      </c>
    </row>
    <row r="6">
      <c r="A6" t="inlineStr">
        <is>
          <t>ORD0005</t>
        </is>
      </c>
      <c r="B6" t="n">
        <v>1006</v>
      </c>
      <c r="C6" t="inlineStr">
        <is>
          <t>Gandhinagar</t>
        </is>
      </c>
      <c r="D6" s="3" t="n">
        <v>46245</v>
      </c>
      <c r="E6" t="inlineStr">
        <is>
          <t>Karan</t>
        </is>
      </c>
      <c r="F6" t="n">
        <v>29</v>
      </c>
      <c r="G6" t="n">
        <v>336.58</v>
      </c>
      <c r="H6" t="inlineStr">
        <is>
          <t>Delivered</t>
        </is>
      </c>
      <c r="I6">
        <f>XLOOKUP(B6,'02_Restaurant_Details'!$A$2:$A$11,'02_Restaurant_Details'!$B$2:$B$11,"Not Found")</f>
        <v/>
      </c>
    </row>
    <row r="7">
      <c r="A7" t="inlineStr">
        <is>
          <t>ORD0006</t>
        </is>
      </c>
      <c r="B7" t="n">
        <v>1009</v>
      </c>
      <c r="C7" t="inlineStr">
        <is>
          <t>Surat</t>
        </is>
      </c>
      <c r="D7" s="3" t="n">
        <v>46243</v>
      </c>
      <c r="E7" t="inlineStr">
        <is>
          <t>Karan</t>
        </is>
      </c>
      <c r="F7" t="n">
        <v>29</v>
      </c>
      <c r="G7" t="n">
        <v>173.89</v>
      </c>
      <c r="H7" t="inlineStr">
        <is>
          <t>Delivered</t>
        </is>
      </c>
      <c r="I7">
        <f>XLOOKUP(B7,'02_Restaurant_Details'!$A$2:$A$11,'02_Restaurant_Details'!$B$2:$B$11,"Not Found")</f>
        <v/>
      </c>
    </row>
    <row r="8">
      <c r="A8" t="inlineStr">
        <is>
          <t>ORD0007</t>
        </is>
      </c>
      <c r="B8" t="n">
        <v>1009</v>
      </c>
      <c r="C8" t="inlineStr">
        <is>
          <t>Ahmedabad</t>
        </is>
      </c>
      <c r="D8" s="3" t="n">
        <v>46248</v>
      </c>
      <c r="E8" t="inlineStr">
        <is>
          <t>Karan</t>
        </is>
      </c>
      <c r="F8" t="n">
        <v>50</v>
      </c>
      <c r="G8" t="n">
        <v>128.13</v>
      </c>
      <c r="H8" t="inlineStr">
        <is>
          <t>Cancelled</t>
        </is>
      </c>
      <c r="I8">
        <f>XLOOKUP(B8,'02_Restaurant_Details'!$A$2:$A$11,'02_Restaurant_Details'!$B$2:$B$11,"Not Found")</f>
        <v/>
      </c>
    </row>
    <row r="9">
      <c r="A9" t="inlineStr">
        <is>
          <t>ORD0008</t>
        </is>
      </c>
      <c r="B9" t="n">
        <v>1007</v>
      </c>
      <c r="C9" t="inlineStr">
        <is>
          <t>Surat</t>
        </is>
      </c>
      <c r="D9" s="3" t="n">
        <v>46244</v>
      </c>
      <c r="E9" t="inlineStr">
        <is>
          <t>Mehul</t>
        </is>
      </c>
      <c r="F9" t="n">
        <v>43</v>
      </c>
      <c r="G9" t="n">
        <v>220.6</v>
      </c>
      <c r="H9" t="inlineStr">
        <is>
          <t>Delivered</t>
        </is>
      </c>
      <c r="I9">
        <f>XLOOKUP(B9,'02_Restaurant_Details'!$A$2:$A$11,'02_Restaurant_Details'!$B$2:$B$11,"Not Found")</f>
        <v/>
      </c>
    </row>
    <row r="10">
      <c r="A10" t="inlineStr">
        <is>
          <t>ORD0009</t>
        </is>
      </c>
      <c r="B10" t="n">
        <v>1010</v>
      </c>
      <c r="C10" t="inlineStr">
        <is>
          <t>Gandhinagar</t>
        </is>
      </c>
      <c r="D10" s="3" t="n">
        <v>46252</v>
      </c>
      <c r="E10" t="inlineStr">
        <is>
          <t>Sneha</t>
        </is>
      </c>
      <c r="F10" t="n">
        <v>51</v>
      </c>
      <c r="G10" t="n">
        <v>172.48</v>
      </c>
      <c r="H10" t="inlineStr">
        <is>
          <t>Delivered</t>
        </is>
      </c>
      <c r="I10">
        <f>XLOOKUP(B10,'02_Restaurant_Details'!$A$2:$A$11,'02_Restaurant_Details'!$B$2:$B$11,"Not Found")</f>
        <v/>
      </c>
    </row>
    <row r="11">
      <c r="A11" t="inlineStr">
        <is>
          <t>ORD0010</t>
        </is>
      </c>
      <c r="B11" t="n">
        <v>1008</v>
      </c>
      <c r="C11" t="inlineStr">
        <is>
          <t>Vadodara</t>
        </is>
      </c>
      <c r="D11" s="3" t="n">
        <v>46238</v>
      </c>
      <c r="E11" t="inlineStr">
        <is>
          <t>Sneha</t>
        </is>
      </c>
      <c r="F11" t="n">
        <v>43</v>
      </c>
      <c r="G11" t="n">
        <v>58</v>
      </c>
      <c r="H11" t="inlineStr">
        <is>
          <t>Delivered</t>
        </is>
      </c>
      <c r="I11">
        <f>XLOOKUP(B11,'02_Restaurant_Details'!$A$2:$A$11,'02_Restaurant_Details'!$B$2:$B$11,"Not Found")</f>
        <v/>
      </c>
    </row>
    <row r="12">
      <c r="A12" t="inlineStr">
        <is>
          <t>ORD0011</t>
        </is>
      </c>
      <c r="B12" t="n">
        <v>1009</v>
      </c>
      <c r="C12" t="inlineStr">
        <is>
          <t>Surat</t>
        </is>
      </c>
      <c r="D12" s="3" t="n">
        <v>46247</v>
      </c>
      <c r="E12" t="inlineStr">
        <is>
          <t>Rahul</t>
        </is>
      </c>
      <c r="F12" t="n">
        <v>24</v>
      </c>
      <c r="G12" t="n">
        <v>182.28</v>
      </c>
      <c r="H12" t="inlineStr">
        <is>
          <t>Delivered</t>
        </is>
      </c>
      <c r="I12">
        <f>XLOOKUP(B12,'02_Restaurant_Details'!$A$2:$A$11,'02_Restaurant_Details'!$B$2:$B$11,"Not Found")</f>
        <v/>
      </c>
    </row>
    <row r="13">
      <c r="A13" t="inlineStr">
        <is>
          <t>ORD0012</t>
        </is>
      </c>
      <c r="B13" t="n">
        <v>1003</v>
      </c>
      <c r="C13" t="inlineStr">
        <is>
          <t>Ahmedabad</t>
        </is>
      </c>
      <c r="D13" s="3" t="n">
        <v>46252</v>
      </c>
      <c r="E13" t="inlineStr">
        <is>
          <t>Sneha</t>
        </is>
      </c>
      <c r="F13" t="n">
        <v>40</v>
      </c>
      <c r="G13" t="n">
        <v>95.45</v>
      </c>
      <c r="H13" t="inlineStr">
        <is>
          <t>Delivered</t>
        </is>
      </c>
      <c r="I13">
        <f>XLOOKUP(B13,'02_Restaurant_Details'!$A$2:$A$11,'02_Restaurant_Details'!$B$2:$B$11,"Not Found")</f>
        <v/>
      </c>
    </row>
    <row r="14">
      <c r="A14" t="inlineStr">
        <is>
          <t>ORD0013</t>
        </is>
      </c>
      <c r="B14" t="n">
        <v>1004</v>
      </c>
      <c r="C14" t="inlineStr">
        <is>
          <t>Rajkot</t>
        </is>
      </c>
      <c r="D14" s="3" t="n">
        <v>46236</v>
      </c>
      <c r="E14" t="inlineStr">
        <is>
          <t>Amit</t>
        </is>
      </c>
      <c r="F14" t="n">
        <v>52</v>
      </c>
      <c r="G14" t="n">
        <v>81.72</v>
      </c>
      <c r="H14" t="inlineStr">
        <is>
          <t>Delivered</t>
        </is>
      </c>
      <c r="I14">
        <f>XLOOKUP(B14,'02_Restaurant_Details'!$A$2:$A$11,'02_Restaurant_Details'!$B$2:$B$11,"Not Found")</f>
        <v/>
      </c>
    </row>
    <row r="15">
      <c r="A15" t="inlineStr">
        <is>
          <t>ORD0014</t>
        </is>
      </c>
      <c r="B15" t="n">
        <v>1002</v>
      </c>
      <c r="C15" t="inlineStr">
        <is>
          <t>Ahmedabad</t>
        </is>
      </c>
      <c r="D15" s="3" t="n">
        <v>46241</v>
      </c>
      <c r="E15" t="inlineStr">
        <is>
          <t>Sneha</t>
        </is>
      </c>
      <c r="F15" t="n">
        <v>25</v>
      </c>
      <c r="G15" t="n">
        <v>296.71</v>
      </c>
      <c r="H15" t="inlineStr">
        <is>
          <t>Cancelled</t>
        </is>
      </c>
      <c r="I15">
        <f>XLOOKUP(B15,'02_Restaurant_Details'!$A$2:$A$11,'02_Restaurant_Details'!$B$2:$B$11,"Not Found")</f>
        <v/>
      </c>
    </row>
    <row r="16">
      <c r="A16" t="inlineStr">
        <is>
          <t>ORD0015</t>
        </is>
      </c>
      <c r="B16" t="n">
        <v>1001</v>
      </c>
      <c r="C16" t="inlineStr">
        <is>
          <t>Ahmedabad</t>
        </is>
      </c>
      <c r="D16" s="3" t="n">
        <v>46250</v>
      </c>
      <c r="E16" t="inlineStr">
        <is>
          <t>Neha</t>
        </is>
      </c>
      <c r="F16" t="n">
        <v>55</v>
      </c>
      <c r="G16" t="n">
        <v>128.1</v>
      </c>
      <c r="H16" t="inlineStr">
        <is>
          <t>Cancelled</t>
        </is>
      </c>
      <c r="I16">
        <f>XLOOKUP(B16,'02_Restaurant_Details'!$A$2:$A$11,'02_Restaurant_Details'!$B$2:$B$11,"Not Found")</f>
        <v/>
      </c>
    </row>
    <row r="17">
      <c r="A17" t="inlineStr">
        <is>
          <t>ORD0016</t>
        </is>
      </c>
      <c r="B17" t="n">
        <v>1008</v>
      </c>
      <c r="C17" t="inlineStr">
        <is>
          <t>Ahmedabad</t>
        </is>
      </c>
      <c r="D17" s="3" t="n">
        <v>46255</v>
      </c>
      <c r="E17" t="inlineStr">
        <is>
          <t>Mehul</t>
        </is>
      </c>
      <c r="F17" t="n">
        <v>25</v>
      </c>
      <c r="G17" t="n">
        <v>294.14</v>
      </c>
      <c r="H17" t="inlineStr">
        <is>
          <t>Delivered</t>
        </is>
      </c>
      <c r="I17">
        <f>XLOOKUP(B17,'02_Restaurant_Details'!$A$2:$A$11,'02_Restaurant_Details'!$B$2:$B$11,"Not Found")</f>
        <v/>
      </c>
    </row>
    <row r="18">
      <c r="A18" t="inlineStr">
        <is>
          <t>ORD0017</t>
        </is>
      </c>
      <c r="B18" t="n">
        <v>1002</v>
      </c>
      <c r="C18" t="inlineStr">
        <is>
          <t>Ahmedabad</t>
        </is>
      </c>
      <c r="D18" s="3" t="n">
        <v>46240</v>
      </c>
      <c r="E18" t="inlineStr">
        <is>
          <t>Mehul</t>
        </is>
      </c>
      <c r="F18" t="n">
        <v>22</v>
      </c>
      <c r="G18" t="n">
        <v>145.58</v>
      </c>
      <c r="H18" t="inlineStr">
        <is>
          <t>Delivered</t>
        </is>
      </c>
      <c r="I18">
        <f>XLOOKUP(B18,'02_Restaurant_Details'!$A$2:$A$11,'02_Restaurant_Details'!$B$2:$B$11,"Not Found")</f>
        <v/>
      </c>
    </row>
    <row r="19">
      <c r="A19" t="inlineStr">
        <is>
          <t>ORD0018</t>
        </is>
      </c>
      <c r="B19" t="n">
        <v>1010</v>
      </c>
      <c r="C19" t="inlineStr">
        <is>
          <t>Rajkot</t>
        </is>
      </c>
      <c r="D19" s="3" t="n">
        <v>46257</v>
      </c>
      <c r="E19" t="inlineStr">
        <is>
          <t>Karan</t>
        </is>
      </c>
      <c r="F19" t="n">
        <v>29</v>
      </c>
      <c r="G19" t="n">
        <v>52.98</v>
      </c>
      <c r="H19" t="inlineStr">
        <is>
          <t>Delivered</t>
        </is>
      </c>
      <c r="I19">
        <f>XLOOKUP(B19,'02_Restaurant_Details'!$A$2:$A$11,'02_Restaurant_Details'!$B$2:$B$11,"Not Found")</f>
        <v/>
      </c>
    </row>
    <row r="20">
      <c r="A20" t="inlineStr">
        <is>
          <t>ORD0019</t>
        </is>
      </c>
      <c r="B20" t="n">
        <v>1006</v>
      </c>
      <c r="C20" t="inlineStr">
        <is>
          <t>Ahmedabad</t>
        </is>
      </c>
      <c r="D20" s="3" t="n">
        <v>46241</v>
      </c>
      <c r="E20" t="inlineStr">
        <is>
          <t>Karan</t>
        </is>
      </c>
      <c r="F20" t="n">
        <v>49</v>
      </c>
      <c r="G20" t="n">
        <v>308.52</v>
      </c>
      <c r="H20" t="inlineStr">
        <is>
          <t>Delivered</t>
        </is>
      </c>
      <c r="I20">
        <f>XLOOKUP(B20,'02_Restaurant_Details'!$A$2:$A$11,'02_Restaurant_Details'!$B$2:$B$11,"Not Found")</f>
        <v/>
      </c>
    </row>
    <row r="21">
      <c r="A21" t="inlineStr">
        <is>
          <t>ORD0020</t>
        </is>
      </c>
      <c r="B21" t="n">
        <v>1001</v>
      </c>
      <c r="C21" t="inlineStr">
        <is>
          <t>Vadodara</t>
        </is>
      </c>
      <c r="D21" s="3" t="n">
        <v>46259</v>
      </c>
      <c r="E21" t="inlineStr">
        <is>
          <t>Amit</t>
        </is>
      </c>
      <c r="F21" t="n">
        <v>55</v>
      </c>
      <c r="G21" t="n">
        <v>185.69</v>
      </c>
      <c r="H21" t="inlineStr">
        <is>
          <t>Delivered</t>
        </is>
      </c>
      <c r="I21">
        <f>XLOOKUP(B21,'02_Restaurant_Details'!$A$2:$A$11,'02_Restaurant_Details'!$B$2:$B$11,"Not Found")</f>
        <v/>
      </c>
    </row>
    <row r="22">
      <c r="A22" t="inlineStr">
        <is>
          <t>ORD0021</t>
        </is>
      </c>
      <c r="B22" t="n">
        <v>1007</v>
      </c>
      <c r="C22" t="inlineStr">
        <is>
          <t>Vadodara</t>
        </is>
      </c>
      <c r="D22" s="3" t="n">
        <v>46238</v>
      </c>
      <c r="E22" t="inlineStr">
        <is>
          <t>Neha</t>
        </is>
      </c>
      <c r="F22" t="n">
        <v>20</v>
      </c>
      <c r="G22" t="n">
        <v>113.69</v>
      </c>
      <c r="H22" t="inlineStr">
        <is>
          <t>Delivered</t>
        </is>
      </c>
      <c r="I22">
        <f>XLOOKUP(B22,'02_Restaurant_Details'!$A$2:$A$11,'02_Restaurant_Details'!$B$2:$B$11,"Not Found")</f>
        <v/>
      </c>
    </row>
    <row r="23">
      <c r="A23" t="inlineStr">
        <is>
          <t>ORD0022</t>
        </is>
      </c>
      <c r="B23" t="n">
        <v>1004</v>
      </c>
      <c r="C23" t="inlineStr">
        <is>
          <t>Surat</t>
        </is>
      </c>
      <c r="D23" s="3" t="n">
        <v>46259</v>
      </c>
      <c r="E23" t="inlineStr">
        <is>
          <t>Unassigned</t>
        </is>
      </c>
      <c r="F23" t="n">
        <v>42</v>
      </c>
      <c r="G23" t="n">
        <v>55.23</v>
      </c>
      <c r="H23" t="inlineStr">
        <is>
          <t>Cancelled</t>
        </is>
      </c>
      <c r="I23">
        <f>XLOOKUP(B23,'02_Restaurant_Details'!$A$2:$A$11,'02_Restaurant_Details'!$B$2:$B$11,"Not Found")</f>
        <v/>
      </c>
    </row>
    <row r="24">
      <c r="A24" t="inlineStr">
        <is>
          <t>ORD0023</t>
        </is>
      </c>
      <c r="B24" t="n">
        <v>1008</v>
      </c>
      <c r="C24" t="inlineStr">
        <is>
          <t>Vadodara</t>
        </is>
      </c>
      <c r="D24" s="3" t="n">
        <v>46242</v>
      </c>
      <c r="E24" t="inlineStr">
        <is>
          <t>Priya</t>
        </is>
      </c>
      <c r="F24" t="n">
        <v>25</v>
      </c>
      <c r="G24" t="n">
        <v>122.55</v>
      </c>
      <c r="H24" t="inlineStr">
        <is>
          <t>Delivered</t>
        </is>
      </c>
      <c r="I24">
        <f>XLOOKUP(B24,'02_Restaurant_Details'!$A$2:$A$11,'02_Restaurant_Details'!$B$2:$B$11,"Not Found")</f>
        <v/>
      </c>
    </row>
    <row r="25">
      <c r="A25" t="inlineStr">
        <is>
          <t>ORD0024</t>
        </is>
      </c>
      <c r="B25" t="n">
        <v>1010</v>
      </c>
      <c r="C25" t="inlineStr">
        <is>
          <t>Surat</t>
        </is>
      </c>
      <c r="D25" s="3" t="n">
        <v>46240</v>
      </c>
      <c r="E25" t="inlineStr">
        <is>
          <t>Mehul</t>
        </is>
      </c>
      <c r="F25" t="n">
        <v>21</v>
      </c>
      <c r="G25" t="n">
        <v>49.29</v>
      </c>
      <c r="H25" t="inlineStr">
        <is>
          <t>Delivered</t>
        </is>
      </c>
      <c r="I25">
        <f>XLOOKUP(B25,'02_Restaurant_Details'!$A$2:$A$11,'02_Restaurant_Details'!$B$2:$B$11,"Not Found")</f>
        <v/>
      </c>
    </row>
    <row r="26">
      <c r="A26" t="inlineStr">
        <is>
          <t>ORD0025</t>
        </is>
      </c>
      <c r="B26" t="n">
        <v>1010</v>
      </c>
      <c r="C26" t="inlineStr">
        <is>
          <t>Vadodara</t>
        </is>
      </c>
      <c r="D26" s="3" t="n">
        <v>46236</v>
      </c>
      <c r="E26" t="inlineStr">
        <is>
          <t>Unassigned</t>
        </is>
      </c>
      <c r="F26" t="n">
        <v>19</v>
      </c>
      <c r="G26" t="n">
        <v>125.89</v>
      </c>
      <c r="H26" t="inlineStr">
        <is>
          <t>Delivered</t>
        </is>
      </c>
      <c r="I26">
        <f>XLOOKUP(B26,'02_Restaurant_Details'!$A$2:$A$11,'02_Restaurant_Details'!$B$2:$B$11,"Not Found")</f>
        <v/>
      </c>
    </row>
    <row r="27">
      <c r="A27" t="inlineStr">
        <is>
          <t>ORD0026</t>
        </is>
      </c>
      <c r="B27" t="n">
        <v>1004</v>
      </c>
      <c r="C27" t="inlineStr">
        <is>
          <t>Rajkot</t>
        </is>
      </c>
      <c r="D27" s="3" t="n">
        <v>46262</v>
      </c>
      <c r="E27" t="inlineStr">
        <is>
          <t>Priya</t>
        </is>
      </c>
      <c r="F27" t="n">
        <v>46</v>
      </c>
      <c r="G27" t="n">
        <v>205.71</v>
      </c>
      <c r="H27" t="inlineStr">
        <is>
          <t>Delivered</t>
        </is>
      </c>
      <c r="I27">
        <f>XLOOKUP(B27,'02_Restaurant_Details'!$A$2:$A$11,'02_Restaurant_Details'!$B$2:$B$11,"Not Found")</f>
        <v/>
      </c>
    </row>
    <row r="28">
      <c r="A28" t="inlineStr">
        <is>
          <t>ORD0027</t>
        </is>
      </c>
      <c r="B28" t="n">
        <v>1006</v>
      </c>
      <c r="C28" t="inlineStr">
        <is>
          <t>Vadodara</t>
        </is>
      </c>
      <c r="D28" s="3" t="n">
        <v>46243</v>
      </c>
      <c r="E28" t="inlineStr">
        <is>
          <t>Rahul</t>
        </is>
      </c>
      <c r="F28" t="n">
        <v>42</v>
      </c>
      <c r="G28" t="n">
        <v>228.59</v>
      </c>
      <c r="H28" t="inlineStr">
        <is>
          <t>Delivered</t>
        </is>
      </c>
      <c r="I28">
        <f>XLOOKUP(B28,'02_Restaurant_Details'!$A$2:$A$11,'02_Restaurant_Details'!$B$2:$B$11,"Not Found")</f>
        <v/>
      </c>
    </row>
    <row r="29">
      <c r="A29" t="inlineStr">
        <is>
          <t>ORD0028</t>
        </is>
      </c>
      <c r="B29" t="n">
        <v>1003</v>
      </c>
      <c r="C29" t="inlineStr">
        <is>
          <t>Gandhinagar</t>
        </is>
      </c>
      <c r="D29" s="3" t="n">
        <v>46252</v>
      </c>
      <c r="E29" t="inlineStr">
        <is>
          <t>Mehul</t>
        </is>
      </c>
      <c r="F29" t="n">
        <v>35</v>
      </c>
      <c r="G29" t="n">
        <v>303.04</v>
      </c>
      <c r="H29" t="inlineStr">
        <is>
          <t>Delivered</t>
        </is>
      </c>
      <c r="I29">
        <f>XLOOKUP(B29,'02_Restaurant_Details'!$A$2:$A$11,'02_Restaurant_Details'!$B$2:$B$11,"Not Found")</f>
        <v/>
      </c>
    </row>
    <row r="30">
      <c r="A30" t="inlineStr">
        <is>
          <t>ORD0029</t>
        </is>
      </c>
      <c r="B30" t="n">
        <v>1004</v>
      </c>
      <c r="C30" t="inlineStr">
        <is>
          <t>Vadodara</t>
        </is>
      </c>
      <c r="D30" s="3" t="n">
        <v>46243</v>
      </c>
      <c r="E30" t="inlineStr">
        <is>
          <t>Neha</t>
        </is>
      </c>
      <c r="F30" t="n">
        <v>40</v>
      </c>
      <c r="G30" t="n">
        <v>300</v>
      </c>
      <c r="H30" t="inlineStr">
        <is>
          <t>Cancelled</t>
        </is>
      </c>
      <c r="I30">
        <f>XLOOKUP(B30,'02_Restaurant_Details'!$A$2:$A$11,'02_Restaurant_Details'!$B$2:$B$11,"Not Found")</f>
        <v/>
      </c>
    </row>
    <row r="31">
      <c r="A31" t="inlineStr">
        <is>
          <t>ORD0030</t>
        </is>
      </c>
      <c r="B31" t="n">
        <v>1008</v>
      </c>
      <c r="C31" t="inlineStr">
        <is>
          <t>Surat</t>
        </is>
      </c>
      <c r="D31" s="3" t="n">
        <v>46252</v>
      </c>
      <c r="E31" t="inlineStr">
        <is>
          <t>Priya</t>
        </is>
      </c>
      <c r="F31" t="n">
        <v>49</v>
      </c>
      <c r="G31" t="n">
        <v>165.77</v>
      </c>
      <c r="H31" t="inlineStr">
        <is>
          <t>Delivered</t>
        </is>
      </c>
      <c r="I31">
        <f>XLOOKUP(B31,'02_Restaurant_Details'!$A$2:$A$11,'02_Restaurant_Details'!$B$2:$B$11,"Not Found")</f>
        <v/>
      </c>
    </row>
    <row r="32">
      <c r="A32" t="inlineStr">
        <is>
          <t>ORD0031</t>
        </is>
      </c>
      <c r="B32" t="n">
        <v>1007</v>
      </c>
      <c r="C32" t="inlineStr">
        <is>
          <t>Gandhinagar</t>
        </is>
      </c>
      <c r="D32" s="3" t="n">
        <v>46241</v>
      </c>
      <c r="E32" t="inlineStr">
        <is>
          <t>Neha</t>
        </is>
      </c>
      <c r="F32" t="n">
        <v>23</v>
      </c>
      <c r="G32" t="n">
        <v>55.69</v>
      </c>
      <c r="H32" t="inlineStr">
        <is>
          <t>Cancelled</t>
        </is>
      </c>
      <c r="I32">
        <f>XLOOKUP(B32,'02_Restaurant_Details'!$A$2:$A$11,'02_Restaurant_Details'!$B$2:$B$11,"Not Found")</f>
        <v/>
      </c>
    </row>
    <row r="33">
      <c r="A33" t="inlineStr">
        <is>
          <t>ORD0032</t>
        </is>
      </c>
      <c r="B33" t="n">
        <v>1006</v>
      </c>
      <c r="C33" t="inlineStr">
        <is>
          <t>Surat</t>
        </is>
      </c>
      <c r="D33" s="3" t="n">
        <v>46236</v>
      </c>
      <c r="E33" t="inlineStr">
        <is>
          <t>Neha</t>
        </is>
      </c>
      <c r="F33" t="n">
        <v>30</v>
      </c>
      <c r="G33" t="n">
        <v>212.88</v>
      </c>
      <c r="H33" t="inlineStr">
        <is>
          <t>Delivered</t>
        </is>
      </c>
      <c r="I33">
        <f>XLOOKUP(B33,'02_Restaurant_Details'!$A$2:$A$11,'02_Restaurant_Details'!$B$2:$B$11,"Not Found")</f>
        <v/>
      </c>
    </row>
    <row r="34">
      <c r="A34" t="inlineStr">
        <is>
          <t>ORD0033</t>
        </is>
      </c>
      <c r="B34" t="n">
        <v>1009</v>
      </c>
      <c r="C34" t="inlineStr">
        <is>
          <t>Vadodara</t>
        </is>
      </c>
      <c r="D34" s="3" t="n">
        <v>46259</v>
      </c>
      <c r="E34" t="inlineStr">
        <is>
          <t>Rahul</t>
        </is>
      </c>
      <c r="F34" t="n">
        <v>25</v>
      </c>
      <c r="G34" t="n">
        <v>334.05</v>
      </c>
      <c r="H34" t="inlineStr">
        <is>
          <t>Delivered</t>
        </is>
      </c>
      <c r="I34">
        <f>XLOOKUP(B34,'02_Restaurant_Details'!$A$2:$A$11,'02_Restaurant_Details'!$B$2:$B$11,"Not Found")</f>
        <v/>
      </c>
    </row>
    <row r="35">
      <c r="A35" t="inlineStr">
        <is>
          <t>ORD0034</t>
        </is>
      </c>
      <c r="B35" t="n">
        <v>1002</v>
      </c>
      <c r="C35" t="inlineStr">
        <is>
          <t>Ahmedabad</t>
        </is>
      </c>
      <c r="D35" s="3" t="n">
        <v>46253</v>
      </c>
      <c r="E35" t="inlineStr">
        <is>
          <t>Amit</t>
        </is>
      </c>
      <c r="F35" t="n">
        <v>29</v>
      </c>
      <c r="G35" t="n">
        <v>119.88</v>
      </c>
      <c r="H35" t="inlineStr">
        <is>
          <t>Delivered</t>
        </is>
      </c>
      <c r="I35">
        <f>XLOOKUP(B35,'02_Restaurant_Details'!$A$2:$A$11,'02_Restaurant_Details'!$B$2:$B$11,"Not Found")</f>
        <v/>
      </c>
    </row>
    <row r="36">
      <c r="A36" t="inlineStr">
        <is>
          <t>ORD0035</t>
        </is>
      </c>
      <c r="B36" t="n">
        <v>1006</v>
      </c>
      <c r="C36" t="inlineStr">
        <is>
          <t>Rajkot</t>
        </is>
      </c>
      <c r="D36" s="3" t="n">
        <v>46253</v>
      </c>
      <c r="E36" t="inlineStr">
        <is>
          <t>Mehul</t>
        </is>
      </c>
      <c r="F36" t="n">
        <v>38</v>
      </c>
      <c r="G36" t="n">
        <v>340.85</v>
      </c>
      <c r="H36" t="inlineStr">
        <is>
          <t>Delivered</t>
        </is>
      </c>
      <c r="I36">
        <f>XLOOKUP(B36,'02_Restaurant_Details'!$A$2:$A$11,'02_Restaurant_Details'!$B$2:$B$11,"Not Found")</f>
        <v/>
      </c>
    </row>
    <row r="37">
      <c r="A37" t="inlineStr">
        <is>
          <t>ORD0036</t>
        </is>
      </c>
      <c r="B37" t="n">
        <v>1004</v>
      </c>
      <c r="C37" t="inlineStr">
        <is>
          <t>Gandhinagar</t>
        </is>
      </c>
      <c r="D37" s="3" t="n">
        <v>46255</v>
      </c>
      <c r="E37" t="inlineStr">
        <is>
          <t>Mehul</t>
        </is>
      </c>
      <c r="F37" t="n">
        <v>36</v>
      </c>
      <c r="G37" t="n">
        <v>41.05</v>
      </c>
      <c r="H37" t="inlineStr">
        <is>
          <t>Delivered</t>
        </is>
      </c>
      <c r="I37">
        <f>XLOOKUP(B37,'02_Restaurant_Details'!$A$2:$A$11,'02_Restaurant_Details'!$B$2:$B$11,"Not Found")</f>
        <v/>
      </c>
    </row>
    <row r="38">
      <c r="A38" t="inlineStr">
        <is>
          <t>ORD0037</t>
        </is>
      </c>
      <c r="B38" t="n">
        <v>1001</v>
      </c>
      <c r="C38" t="inlineStr">
        <is>
          <t>Ahmedabad</t>
        </is>
      </c>
      <c r="D38" s="3" t="n">
        <v>46264</v>
      </c>
      <c r="E38" t="inlineStr">
        <is>
          <t>Mehul</t>
        </is>
      </c>
      <c r="F38" t="n">
        <v>37</v>
      </c>
      <c r="G38" t="n">
        <v>315.59</v>
      </c>
      <c r="H38" t="inlineStr">
        <is>
          <t>Delivered</t>
        </is>
      </c>
      <c r="I38">
        <f>XLOOKUP(B38,'02_Restaurant_Details'!$A$2:$A$11,'02_Restaurant_Details'!$B$2:$B$11,"Not Found")</f>
        <v/>
      </c>
    </row>
    <row r="39">
      <c r="A39" t="inlineStr">
        <is>
          <t>ORD0038</t>
        </is>
      </c>
      <c r="B39" t="n">
        <v>1002</v>
      </c>
      <c r="C39" t="inlineStr">
        <is>
          <t>Ahmedabad</t>
        </is>
      </c>
      <c r="D39" s="3" t="n">
        <v>46264</v>
      </c>
      <c r="E39" t="inlineStr">
        <is>
          <t>Unassigned</t>
        </is>
      </c>
      <c r="F39" t="n">
        <v>39</v>
      </c>
      <c r="G39" t="n">
        <v>324.84</v>
      </c>
      <c r="H39" t="inlineStr">
        <is>
          <t>Delivered</t>
        </is>
      </c>
      <c r="I39">
        <f>XLOOKUP(B39,'02_Restaurant_Details'!$A$2:$A$11,'02_Restaurant_Details'!$B$2:$B$11,"Not Found")</f>
        <v/>
      </c>
    </row>
    <row r="40">
      <c r="A40" t="inlineStr">
        <is>
          <t>ORD0039</t>
        </is>
      </c>
      <c r="B40" t="n">
        <v>1008</v>
      </c>
      <c r="C40" t="inlineStr">
        <is>
          <t>Vadodara</t>
        </is>
      </c>
      <c r="D40" s="3" t="n">
        <v>46248</v>
      </c>
      <c r="E40" t="inlineStr">
        <is>
          <t>Sneha</t>
        </is>
      </c>
      <c r="F40" t="n">
        <v>40</v>
      </c>
      <c r="G40" t="n">
        <v>83.33</v>
      </c>
      <c r="H40" t="inlineStr">
        <is>
          <t>Cancelled</t>
        </is>
      </c>
      <c r="I40">
        <f>XLOOKUP(B40,'02_Restaurant_Details'!$A$2:$A$11,'02_Restaurant_Details'!$B$2:$B$11,"Not Found")</f>
        <v/>
      </c>
    </row>
    <row r="41">
      <c r="A41" t="inlineStr">
        <is>
          <t>ORD0040</t>
        </is>
      </c>
      <c r="B41" t="n">
        <v>1005</v>
      </c>
      <c r="C41" t="inlineStr">
        <is>
          <t>Surat</t>
        </is>
      </c>
      <c r="D41" s="3" t="n">
        <v>46252</v>
      </c>
      <c r="E41" t="inlineStr">
        <is>
          <t>Priya</t>
        </is>
      </c>
      <c r="F41" t="n">
        <v>41</v>
      </c>
      <c r="G41" t="n">
        <v>320.1</v>
      </c>
      <c r="H41" t="inlineStr">
        <is>
          <t>Cancelled</t>
        </is>
      </c>
      <c r="I41">
        <f>XLOOKUP(B41,'02_Restaurant_Details'!$A$2:$A$11,'02_Restaurant_Details'!$B$2:$B$11,"Not Found")</f>
        <v/>
      </c>
    </row>
    <row r="42">
      <c r="A42" t="inlineStr">
        <is>
          <t>ORD0041</t>
        </is>
      </c>
      <c r="B42" t="n">
        <v>1005</v>
      </c>
      <c r="C42" t="inlineStr">
        <is>
          <t>Gandhinagar</t>
        </is>
      </c>
      <c r="D42" s="3" t="n">
        <v>46252</v>
      </c>
      <c r="E42" t="inlineStr">
        <is>
          <t>Priya</t>
        </is>
      </c>
      <c r="F42" t="n">
        <v>23</v>
      </c>
      <c r="G42" t="n">
        <v>79.73999999999999</v>
      </c>
      <c r="H42" t="inlineStr">
        <is>
          <t>Delivered</t>
        </is>
      </c>
      <c r="I42">
        <f>XLOOKUP(B42,'02_Restaurant_Details'!$A$2:$A$11,'02_Restaurant_Details'!$B$2:$B$11,"Not Found")</f>
        <v/>
      </c>
    </row>
    <row r="43">
      <c r="A43" t="inlineStr">
        <is>
          <t>ORD0042</t>
        </is>
      </c>
      <c r="B43" t="n">
        <v>1005</v>
      </c>
      <c r="C43" t="inlineStr">
        <is>
          <t>Gandhinagar</t>
        </is>
      </c>
      <c r="D43" s="3" t="n">
        <v>46239</v>
      </c>
      <c r="E43" t="inlineStr">
        <is>
          <t>Unassigned</t>
        </is>
      </c>
      <c r="F43" t="n">
        <v>21</v>
      </c>
      <c r="G43" t="n">
        <v>119.73</v>
      </c>
      <c r="H43" t="inlineStr">
        <is>
          <t>Delivered</t>
        </is>
      </c>
      <c r="I43">
        <f>XLOOKUP(B43,'02_Restaurant_Details'!$A$2:$A$11,'02_Restaurant_Details'!$B$2:$B$11,"Not Found")</f>
        <v/>
      </c>
    </row>
    <row r="44">
      <c r="A44" t="inlineStr">
        <is>
          <t>ORD0043</t>
        </is>
      </c>
      <c r="B44" t="n">
        <v>1003</v>
      </c>
      <c r="C44" t="inlineStr">
        <is>
          <t>Ahmedabad</t>
        </is>
      </c>
      <c r="D44" s="3" t="n">
        <v>46252</v>
      </c>
      <c r="E44" t="inlineStr">
        <is>
          <t>Unassigned</t>
        </is>
      </c>
      <c r="F44" t="n">
        <v>38</v>
      </c>
      <c r="G44" t="n">
        <v>288.43</v>
      </c>
      <c r="H44" t="inlineStr">
        <is>
          <t>Cancelled</t>
        </is>
      </c>
      <c r="I44">
        <f>XLOOKUP(B44,'02_Restaurant_Details'!$A$2:$A$11,'02_Restaurant_Details'!$B$2:$B$11,"Not Found")</f>
        <v/>
      </c>
    </row>
    <row r="45">
      <c r="A45" t="inlineStr">
        <is>
          <t>ORD0044</t>
        </is>
      </c>
      <c r="B45" t="n">
        <v>1002</v>
      </c>
      <c r="C45" t="inlineStr">
        <is>
          <t>Vadodara</t>
        </is>
      </c>
      <c r="D45" s="3" t="n">
        <v>46241</v>
      </c>
      <c r="E45" t="inlineStr">
        <is>
          <t>Sneha</t>
        </is>
      </c>
      <c r="F45" t="n">
        <v>26</v>
      </c>
      <c r="G45" t="n">
        <v>323.5</v>
      </c>
      <c r="H45" t="inlineStr">
        <is>
          <t>Cancelled</t>
        </is>
      </c>
      <c r="I45">
        <f>XLOOKUP(B45,'02_Restaurant_Details'!$A$2:$A$11,'02_Restaurant_Details'!$B$2:$B$11,"Not Found")</f>
        <v/>
      </c>
    </row>
    <row r="46">
      <c r="A46" t="inlineStr">
        <is>
          <t>ORD0045</t>
        </is>
      </c>
      <c r="B46" t="n">
        <v>1007</v>
      </c>
      <c r="C46" t="inlineStr">
        <is>
          <t>Gandhinagar</t>
        </is>
      </c>
      <c r="D46" s="3" t="n">
        <v>46236</v>
      </c>
      <c r="E46" t="inlineStr">
        <is>
          <t>Sneha</t>
        </is>
      </c>
      <c r="F46" t="n">
        <v>47</v>
      </c>
      <c r="G46" t="n">
        <v>290.48</v>
      </c>
      <c r="H46" t="inlineStr">
        <is>
          <t>Cancelled</t>
        </is>
      </c>
      <c r="I46">
        <f>XLOOKUP(B46,'02_Restaurant_Details'!$A$2:$A$11,'02_Restaurant_Details'!$B$2:$B$11,"Not Found")</f>
        <v/>
      </c>
    </row>
    <row r="47">
      <c r="A47" t="inlineStr">
        <is>
          <t>ORD0046</t>
        </is>
      </c>
      <c r="B47" t="n">
        <v>1006</v>
      </c>
      <c r="C47" t="inlineStr">
        <is>
          <t>Surat</t>
        </is>
      </c>
      <c r="D47" s="3" t="n">
        <v>46244</v>
      </c>
      <c r="E47" t="inlineStr">
        <is>
          <t>Rahul</t>
        </is>
      </c>
      <c r="F47" t="n">
        <v>23</v>
      </c>
      <c r="G47" t="n">
        <v>75.76000000000001</v>
      </c>
      <c r="H47" t="inlineStr">
        <is>
          <t>Cancelled</t>
        </is>
      </c>
      <c r="I47">
        <f>XLOOKUP(B47,'02_Restaurant_Details'!$A$2:$A$11,'02_Restaurant_Details'!$B$2:$B$11,"Not Found")</f>
        <v/>
      </c>
    </row>
    <row r="48">
      <c r="A48" t="inlineStr">
        <is>
          <t>ORD0047</t>
        </is>
      </c>
      <c r="B48" t="n">
        <v>1002</v>
      </c>
      <c r="C48" t="inlineStr">
        <is>
          <t>Surat</t>
        </is>
      </c>
      <c r="D48" s="3" t="n">
        <v>46253</v>
      </c>
      <c r="E48" t="inlineStr">
        <is>
          <t>Unassigned</t>
        </is>
      </c>
      <c r="F48" t="n">
        <v>35</v>
      </c>
      <c r="G48" t="n">
        <v>235.14</v>
      </c>
      <c r="H48" t="inlineStr">
        <is>
          <t>Delivered</t>
        </is>
      </c>
      <c r="I48">
        <f>XLOOKUP(B48,'02_Restaurant_Details'!$A$2:$A$11,'02_Restaurant_Details'!$B$2:$B$11,"Not Found")</f>
        <v/>
      </c>
    </row>
    <row r="49">
      <c r="A49" t="inlineStr">
        <is>
          <t>ORD0048</t>
        </is>
      </c>
      <c r="B49" t="n">
        <v>1003</v>
      </c>
      <c r="C49" t="inlineStr">
        <is>
          <t>Gandhinagar</t>
        </is>
      </c>
      <c r="D49" s="3" t="n">
        <v>46260</v>
      </c>
      <c r="E49" t="inlineStr">
        <is>
          <t>Karan</t>
        </is>
      </c>
      <c r="F49" t="n">
        <v>52</v>
      </c>
      <c r="G49" t="n">
        <v>114.19</v>
      </c>
      <c r="H49" t="inlineStr">
        <is>
          <t>Delivered</t>
        </is>
      </c>
      <c r="I49">
        <f>XLOOKUP(B49,'02_Restaurant_Details'!$A$2:$A$11,'02_Restaurant_Details'!$B$2:$B$11,"Not Found")</f>
        <v/>
      </c>
    </row>
    <row r="50">
      <c r="A50" t="inlineStr">
        <is>
          <t>ORD0049</t>
        </is>
      </c>
      <c r="B50" t="n">
        <v>1006</v>
      </c>
      <c r="C50" t="inlineStr">
        <is>
          <t>Rajkot</t>
        </is>
      </c>
      <c r="D50" s="3" t="n">
        <v>46249</v>
      </c>
      <c r="E50" t="inlineStr">
        <is>
          <t>Neha</t>
        </is>
      </c>
      <c r="F50" t="n">
        <v>43</v>
      </c>
      <c r="G50" t="n">
        <v>246.93</v>
      </c>
      <c r="H50" t="inlineStr">
        <is>
          <t>Cancelled</t>
        </is>
      </c>
      <c r="I50">
        <f>XLOOKUP(B50,'02_Restaurant_Details'!$A$2:$A$11,'02_Restaurant_Details'!$B$2:$B$11,"Not Found")</f>
        <v/>
      </c>
    </row>
    <row r="51">
      <c r="A51" t="inlineStr">
        <is>
          <t>ORD0050</t>
        </is>
      </c>
      <c r="B51" t="n">
        <v>1009</v>
      </c>
      <c r="C51" t="inlineStr">
        <is>
          <t>Rajkot</t>
        </is>
      </c>
      <c r="D51" s="3" t="n">
        <v>46243</v>
      </c>
      <c r="E51" t="inlineStr">
        <is>
          <t>Priya</t>
        </is>
      </c>
      <c r="F51" t="n">
        <v>33</v>
      </c>
      <c r="G51" t="n">
        <v>109.88</v>
      </c>
      <c r="H51" t="inlineStr">
        <is>
          <t>Delivered</t>
        </is>
      </c>
      <c r="I51">
        <f>XLOOKUP(B51,'02_Restaurant_Details'!$A$2:$A$11,'02_Restaurant_Details'!$B$2:$B$11,"Not Found")</f>
        <v/>
      </c>
    </row>
    <row r="52">
      <c r="A52" t="inlineStr">
        <is>
          <t>ORD0051</t>
        </is>
      </c>
      <c r="B52" t="n">
        <v>1005</v>
      </c>
      <c r="C52" t="inlineStr">
        <is>
          <t>Gandhinagar</t>
        </is>
      </c>
      <c r="D52" s="3" t="n">
        <v>46236</v>
      </c>
      <c r="E52" t="inlineStr">
        <is>
          <t>Priya</t>
        </is>
      </c>
      <c r="F52" t="n">
        <v>53</v>
      </c>
      <c r="G52" t="n">
        <v>114.85</v>
      </c>
      <c r="H52" t="inlineStr">
        <is>
          <t>Cancelled</t>
        </is>
      </c>
      <c r="I52">
        <f>XLOOKUP(B52,'02_Restaurant_Details'!$A$2:$A$11,'02_Restaurant_Details'!$B$2:$B$11,"Not Found")</f>
        <v/>
      </c>
    </row>
    <row r="53">
      <c r="A53" t="inlineStr">
        <is>
          <t>ORD0052</t>
        </is>
      </c>
      <c r="B53" t="n">
        <v>1006</v>
      </c>
      <c r="C53" t="inlineStr">
        <is>
          <t>Ahmedabad</t>
        </is>
      </c>
      <c r="D53" s="3" t="n">
        <v>46253</v>
      </c>
      <c r="E53" t="inlineStr">
        <is>
          <t>Priya</t>
        </is>
      </c>
      <c r="F53" t="n">
        <v>40</v>
      </c>
      <c r="G53" t="n">
        <v>168.87</v>
      </c>
      <c r="H53" t="inlineStr">
        <is>
          <t>Delivered</t>
        </is>
      </c>
      <c r="I53">
        <f>XLOOKUP(B53,'02_Restaurant_Details'!$A$2:$A$11,'02_Restaurant_Details'!$B$2:$B$11,"Not Found")</f>
        <v/>
      </c>
    </row>
    <row r="54">
      <c r="A54" t="inlineStr">
        <is>
          <t>ORD0053</t>
        </is>
      </c>
      <c r="B54" t="n">
        <v>1003</v>
      </c>
      <c r="C54" t="inlineStr">
        <is>
          <t>Ahmedabad</t>
        </is>
      </c>
      <c r="D54" s="3" t="n">
        <v>46252</v>
      </c>
      <c r="E54" t="inlineStr">
        <is>
          <t>Karan</t>
        </is>
      </c>
      <c r="F54" t="n">
        <v>24</v>
      </c>
      <c r="G54" t="n">
        <v>79.31</v>
      </c>
      <c r="H54" t="inlineStr">
        <is>
          <t>Delivered</t>
        </is>
      </c>
      <c r="I54">
        <f>XLOOKUP(B54,'02_Restaurant_Details'!$A$2:$A$11,'02_Restaurant_Details'!$B$2:$B$11,"Not Found")</f>
        <v/>
      </c>
    </row>
    <row r="55">
      <c r="A55" t="inlineStr">
        <is>
          <t>ORD0054</t>
        </is>
      </c>
      <c r="B55" t="n">
        <v>1007</v>
      </c>
      <c r="C55" t="inlineStr">
        <is>
          <t>Surat</t>
        </is>
      </c>
      <c r="D55" s="3" t="n">
        <v>46238</v>
      </c>
      <c r="E55" t="inlineStr">
        <is>
          <t>Mehul</t>
        </is>
      </c>
      <c r="F55" t="n">
        <v>50</v>
      </c>
      <c r="G55" t="n">
        <v>241.19</v>
      </c>
      <c r="H55" t="inlineStr">
        <is>
          <t>Delivered</t>
        </is>
      </c>
      <c r="I55">
        <f>XLOOKUP(B55,'02_Restaurant_Details'!$A$2:$A$11,'02_Restaurant_Details'!$B$2:$B$11,"Not Found")</f>
        <v/>
      </c>
    </row>
    <row r="56">
      <c r="A56" t="inlineStr">
        <is>
          <t>ORD0055</t>
        </is>
      </c>
      <c r="B56" t="n">
        <v>1001</v>
      </c>
      <c r="C56" t="inlineStr">
        <is>
          <t>Ahmedabad</t>
        </is>
      </c>
      <c r="D56" s="3" t="n">
        <v>46240</v>
      </c>
      <c r="E56" t="inlineStr">
        <is>
          <t>Unassigned</t>
        </is>
      </c>
      <c r="F56" t="n">
        <v>39</v>
      </c>
      <c r="G56" t="n">
        <v>88.92</v>
      </c>
      <c r="H56" t="inlineStr">
        <is>
          <t>Delivered</t>
        </is>
      </c>
      <c r="I56">
        <f>XLOOKUP(B56,'02_Restaurant_Details'!$A$2:$A$11,'02_Restaurant_Details'!$B$2:$B$11,"Not Found")</f>
        <v/>
      </c>
    </row>
    <row r="57">
      <c r="A57" t="inlineStr">
        <is>
          <t>ORD0056</t>
        </is>
      </c>
      <c r="B57" t="n">
        <v>1009</v>
      </c>
      <c r="C57" t="inlineStr">
        <is>
          <t>Gandhinagar</t>
        </is>
      </c>
      <c r="D57" s="3" t="n">
        <v>46240</v>
      </c>
      <c r="E57" t="inlineStr">
        <is>
          <t>Amit</t>
        </is>
      </c>
      <c r="F57" t="n">
        <v>34</v>
      </c>
      <c r="G57" t="n">
        <v>154.95</v>
      </c>
      <c r="H57" t="inlineStr">
        <is>
          <t>Cancelled</t>
        </is>
      </c>
      <c r="I57">
        <f>XLOOKUP(B57,'02_Restaurant_Details'!$A$2:$A$11,'02_Restaurant_Details'!$B$2:$B$11,"Not Found")</f>
        <v/>
      </c>
    </row>
    <row r="58">
      <c r="A58" t="inlineStr">
        <is>
          <t>ORD0057</t>
        </is>
      </c>
      <c r="B58" t="n">
        <v>1003</v>
      </c>
      <c r="C58" t="inlineStr">
        <is>
          <t>Surat</t>
        </is>
      </c>
      <c r="D58" s="3" t="n">
        <v>46257</v>
      </c>
      <c r="E58" t="inlineStr">
        <is>
          <t>Amit</t>
        </is>
      </c>
      <c r="F58" t="n">
        <v>50</v>
      </c>
      <c r="G58" t="n">
        <v>247.31</v>
      </c>
      <c r="H58" t="inlineStr">
        <is>
          <t>Cancelled</t>
        </is>
      </c>
      <c r="I58">
        <f>XLOOKUP(B58,'02_Restaurant_Details'!$A$2:$A$11,'02_Restaurant_Details'!$B$2:$B$11,"Not Found")</f>
        <v/>
      </c>
    </row>
    <row r="59">
      <c r="A59" t="inlineStr">
        <is>
          <t>ORD0058</t>
        </is>
      </c>
      <c r="B59" t="n">
        <v>1009</v>
      </c>
      <c r="C59" t="inlineStr">
        <is>
          <t>Rajkot</t>
        </is>
      </c>
      <c r="D59" s="3" t="n">
        <v>46245</v>
      </c>
      <c r="E59" t="inlineStr">
        <is>
          <t>Mehul</t>
        </is>
      </c>
      <c r="F59" t="n">
        <v>32</v>
      </c>
      <c r="G59" t="n">
        <v>302.65</v>
      </c>
      <c r="H59" t="inlineStr">
        <is>
          <t>Delivered</t>
        </is>
      </c>
      <c r="I59">
        <f>XLOOKUP(B59,'02_Restaurant_Details'!$A$2:$A$11,'02_Restaurant_Details'!$B$2:$B$11,"Not Found")</f>
        <v/>
      </c>
    </row>
    <row r="60">
      <c r="A60" t="inlineStr">
        <is>
          <t>ORD0059</t>
        </is>
      </c>
      <c r="B60" t="n">
        <v>1010</v>
      </c>
      <c r="C60" t="inlineStr">
        <is>
          <t>Ahmedabad</t>
        </is>
      </c>
      <c r="D60" s="3" t="n">
        <v>46246</v>
      </c>
      <c r="E60" t="inlineStr">
        <is>
          <t>Amit</t>
        </is>
      </c>
      <c r="F60" t="n">
        <v>18</v>
      </c>
      <c r="G60" t="n">
        <v>296.15</v>
      </c>
      <c r="H60" t="inlineStr">
        <is>
          <t>Cancelled</t>
        </is>
      </c>
      <c r="I60">
        <f>XLOOKUP(B60,'02_Restaurant_Details'!$A$2:$A$11,'02_Restaurant_Details'!$B$2:$B$11,"Not Found")</f>
        <v/>
      </c>
    </row>
    <row r="61">
      <c r="A61" t="inlineStr">
        <is>
          <t>ORD0060</t>
        </is>
      </c>
      <c r="B61" t="n">
        <v>1006</v>
      </c>
      <c r="C61" t="inlineStr">
        <is>
          <t>Rajkot</t>
        </is>
      </c>
      <c r="D61" s="3" t="n">
        <v>46259</v>
      </c>
      <c r="E61" t="inlineStr">
        <is>
          <t>Amit</t>
        </is>
      </c>
      <c r="F61" t="n">
        <v>32</v>
      </c>
      <c r="G61" t="n">
        <v>305.23</v>
      </c>
      <c r="H61" t="inlineStr">
        <is>
          <t>Cancelled</t>
        </is>
      </c>
      <c r="I61">
        <f>XLOOKUP(B61,'02_Restaurant_Details'!$A$2:$A$11,'02_Restaurant_Details'!$B$2:$B$11,"Not Found")</f>
        <v/>
      </c>
    </row>
    <row r="62">
      <c r="A62" t="inlineStr">
        <is>
          <t>ORD0061</t>
        </is>
      </c>
      <c r="B62" t="n">
        <v>1005</v>
      </c>
      <c r="C62" t="inlineStr">
        <is>
          <t>Ahmedabad</t>
        </is>
      </c>
      <c r="D62" s="3" t="n">
        <v>46253</v>
      </c>
      <c r="E62" t="inlineStr">
        <is>
          <t>Mehul</t>
        </is>
      </c>
      <c r="F62" t="n">
        <v>53</v>
      </c>
      <c r="G62" t="n">
        <v>124.76</v>
      </c>
      <c r="H62" t="inlineStr">
        <is>
          <t>Delivered</t>
        </is>
      </c>
      <c r="I62">
        <f>XLOOKUP(B62,'02_Restaurant_Details'!$A$2:$A$11,'02_Restaurant_Details'!$B$2:$B$11,"Not Found")</f>
        <v/>
      </c>
    </row>
    <row r="63">
      <c r="A63" t="inlineStr">
        <is>
          <t>ORD0062</t>
        </is>
      </c>
      <c r="B63" t="n">
        <v>1007</v>
      </c>
      <c r="C63" t="inlineStr">
        <is>
          <t>Gandhinagar</t>
        </is>
      </c>
      <c r="D63" s="3" t="n">
        <v>46238</v>
      </c>
      <c r="E63" t="inlineStr">
        <is>
          <t>Rahul</t>
        </is>
      </c>
      <c r="F63" t="n">
        <v>40</v>
      </c>
      <c r="G63" t="n">
        <v>206.79</v>
      </c>
      <c r="H63" t="inlineStr">
        <is>
          <t>Delivered</t>
        </is>
      </c>
      <c r="I63">
        <f>XLOOKUP(B63,'02_Restaurant_Details'!$A$2:$A$11,'02_Restaurant_Details'!$B$2:$B$11,"Not Found")</f>
        <v/>
      </c>
    </row>
    <row r="64">
      <c r="A64" t="inlineStr">
        <is>
          <t>ORD0063</t>
        </is>
      </c>
      <c r="B64" t="n">
        <v>1008</v>
      </c>
      <c r="C64" t="inlineStr">
        <is>
          <t>Ahmedabad</t>
        </is>
      </c>
      <c r="D64" s="3" t="n">
        <v>46249</v>
      </c>
      <c r="E64" t="inlineStr">
        <is>
          <t>Sneha</t>
        </is>
      </c>
      <c r="F64" t="n">
        <v>45</v>
      </c>
      <c r="G64" t="n">
        <v>62.83</v>
      </c>
      <c r="H64" t="inlineStr">
        <is>
          <t>Delivered</t>
        </is>
      </c>
      <c r="I64">
        <f>XLOOKUP(B64,'02_Restaurant_Details'!$A$2:$A$11,'02_Restaurant_Details'!$B$2:$B$11,"Not Found")</f>
        <v/>
      </c>
    </row>
    <row r="65">
      <c r="A65" t="inlineStr">
        <is>
          <t>ORD0064</t>
        </is>
      </c>
      <c r="B65" t="n">
        <v>1008</v>
      </c>
      <c r="C65" t="inlineStr">
        <is>
          <t>Rajkot</t>
        </is>
      </c>
      <c r="D65" s="3" t="n">
        <v>46241</v>
      </c>
      <c r="E65" t="inlineStr">
        <is>
          <t>Karan</t>
        </is>
      </c>
      <c r="F65" t="n">
        <v>25</v>
      </c>
      <c r="G65" t="n">
        <v>230.01</v>
      </c>
      <c r="H65" t="inlineStr">
        <is>
          <t>Delivered</t>
        </is>
      </c>
      <c r="I65">
        <f>XLOOKUP(B65,'02_Restaurant_Details'!$A$2:$A$11,'02_Restaurant_Details'!$B$2:$B$11,"Not Found")</f>
        <v/>
      </c>
    </row>
    <row r="66">
      <c r="A66" t="inlineStr">
        <is>
          <t>ORD0065</t>
        </is>
      </c>
      <c r="B66" t="n">
        <v>1005</v>
      </c>
      <c r="C66" t="inlineStr">
        <is>
          <t>Ahmedabad</t>
        </is>
      </c>
      <c r="D66" s="3" t="n">
        <v>46236</v>
      </c>
      <c r="E66" t="inlineStr">
        <is>
          <t>Unassigned</t>
        </is>
      </c>
      <c r="F66" t="n">
        <v>30</v>
      </c>
      <c r="G66" t="n">
        <v>137.82</v>
      </c>
      <c r="H66" t="inlineStr">
        <is>
          <t>Delivered</t>
        </is>
      </c>
      <c r="I66">
        <f>XLOOKUP(B66,'02_Restaurant_Details'!$A$2:$A$11,'02_Restaurant_Details'!$B$2:$B$11,"Not Found")</f>
        <v/>
      </c>
    </row>
    <row r="67">
      <c r="A67" t="inlineStr">
        <is>
          <t>ORD0066</t>
        </is>
      </c>
      <c r="B67" t="n">
        <v>1008</v>
      </c>
      <c r="C67" t="inlineStr">
        <is>
          <t>Surat</t>
        </is>
      </c>
      <c r="D67" s="3" t="n">
        <v>46240</v>
      </c>
      <c r="E67" t="inlineStr">
        <is>
          <t>Amit</t>
        </is>
      </c>
      <c r="F67" t="n">
        <v>19</v>
      </c>
      <c r="G67" t="n">
        <v>347.62</v>
      </c>
      <c r="H67" t="inlineStr">
        <is>
          <t>Delivered</t>
        </is>
      </c>
      <c r="I67">
        <f>XLOOKUP(B67,'02_Restaurant_Details'!$A$2:$A$11,'02_Restaurant_Details'!$B$2:$B$11,"Not Found")</f>
        <v/>
      </c>
    </row>
    <row r="68">
      <c r="A68" t="inlineStr">
        <is>
          <t>ORD0067</t>
        </is>
      </c>
      <c r="B68" t="n">
        <v>1005</v>
      </c>
      <c r="C68" t="inlineStr">
        <is>
          <t>Rajkot</t>
        </is>
      </c>
      <c r="D68" s="3" t="n">
        <v>46259</v>
      </c>
      <c r="E68" t="inlineStr">
        <is>
          <t>Unassigned</t>
        </is>
      </c>
      <c r="F68" t="n">
        <v>35</v>
      </c>
      <c r="G68" t="n">
        <v>135.21</v>
      </c>
      <c r="H68" t="inlineStr">
        <is>
          <t>Delivered</t>
        </is>
      </c>
      <c r="I68">
        <f>XLOOKUP(B68,'02_Restaurant_Details'!$A$2:$A$11,'02_Restaurant_Details'!$B$2:$B$11,"Not Found")</f>
        <v/>
      </c>
    </row>
    <row r="69">
      <c r="A69" t="inlineStr">
        <is>
          <t>ORD0068</t>
        </is>
      </c>
      <c r="B69" t="n">
        <v>1005</v>
      </c>
      <c r="C69" t="inlineStr">
        <is>
          <t>Vadodara</t>
        </is>
      </c>
      <c r="D69" s="3" t="n">
        <v>46244</v>
      </c>
      <c r="E69" t="inlineStr">
        <is>
          <t>Amit</t>
        </is>
      </c>
      <c r="F69" t="n">
        <v>53</v>
      </c>
      <c r="G69" t="n">
        <v>185.36</v>
      </c>
      <c r="H69" t="inlineStr">
        <is>
          <t>Delivered</t>
        </is>
      </c>
      <c r="I69">
        <f>XLOOKUP(B69,'02_Restaurant_Details'!$A$2:$A$11,'02_Restaurant_Details'!$B$2:$B$11,"Not Found")</f>
        <v/>
      </c>
    </row>
    <row r="70">
      <c r="A70" t="inlineStr">
        <is>
          <t>ORD0069</t>
        </is>
      </c>
      <c r="B70" t="n">
        <v>1003</v>
      </c>
      <c r="C70" t="inlineStr">
        <is>
          <t>Surat</t>
        </is>
      </c>
      <c r="D70" s="3" t="n">
        <v>46248</v>
      </c>
      <c r="E70" t="inlineStr">
        <is>
          <t>Sneha</t>
        </is>
      </c>
      <c r="F70" t="n">
        <v>27</v>
      </c>
      <c r="G70" t="n">
        <v>63.16</v>
      </c>
      <c r="H70" t="inlineStr">
        <is>
          <t>Delivered</t>
        </is>
      </c>
      <c r="I70">
        <f>XLOOKUP(B70,'02_Restaurant_Details'!$A$2:$A$11,'02_Restaurant_Details'!$B$2:$B$11,"Not Found")</f>
        <v/>
      </c>
    </row>
    <row r="71">
      <c r="A71" t="inlineStr">
        <is>
          <t>ORD0070</t>
        </is>
      </c>
      <c r="B71" t="n">
        <v>1006</v>
      </c>
      <c r="C71" t="inlineStr">
        <is>
          <t>Ahmedabad</t>
        </is>
      </c>
      <c r="D71" s="3" t="n">
        <v>46260</v>
      </c>
      <c r="E71" t="inlineStr">
        <is>
          <t>Unassigned</t>
        </is>
      </c>
      <c r="F71" t="n">
        <v>51</v>
      </c>
      <c r="G71" t="n">
        <v>230.02</v>
      </c>
      <c r="H71" t="inlineStr">
        <is>
          <t>Cancelled</t>
        </is>
      </c>
      <c r="I71">
        <f>XLOOKUP(B71,'02_Restaurant_Details'!$A$2:$A$11,'02_Restaurant_Details'!$B$2:$B$11,"Not Found")</f>
        <v/>
      </c>
    </row>
    <row r="72">
      <c r="A72" t="inlineStr">
        <is>
          <t>ORD0071</t>
        </is>
      </c>
      <c r="B72" t="n">
        <v>1004</v>
      </c>
      <c r="C72" t="inlineStr">
        <is>
          <t>Ahmedabad</t>
        </is>
      </c>
      <c r="D72" s="3" t="n">
        <v>46241</v>
      </c>
      <c r="E72" t="inlineStr">
        <is>
          <t>Neha</t>
        </is>
      </c>
      <c r="F72" t="n">
        <v>37</v>
      </c>
      <c r="G72" t="n">
        <v>53.77</v>
      </c>
      <c r="H72" t="inlineStr">
        <is>
          <t>Delivered</t>
        </is>
      </c>
      <c r="I72">
        <f>XLOOKUP(B72,'02_Restaurant_Details'!$A$2:$A$11,'02_Restaurant_Details'!$B$2:$B$11,"Not Found")</f>
        <v/>
      </c>
    </row>
    <row r="73">
      <c r="A73" t="inlineStr">
        <is>
          <t>ORD0072</t>
        </is>
      </c>
      <c r="B73" t="n">
        <v>1008</v>
      </c>
      <c r="C73" t="inlineStr">
        <is>
          <t>Ahmedabad</t>
        </is>
      </c>
      <c r="D73" s="3" t="n">
        <v>46252</v>
      </c>
      <c r="E73" t="inlineStr">
        <is>
          <t>Mehul</t>
        </is>
      </c>
      <c r="F73" t="n">
        <v>32</v>
      </c>
      <c r="G73" t="n">
        <v>74.58</v>
      </c>
      <c r="H73" t="inlineStr">
        <is>
          <t>Delivered</t>
        </is>
      </c>
      <c r="I73">
        <f>XLOOKUP(B73,'02_Restaurant_Details'!$A$2:$A$11,'02_Restaurant_Details'!$B$2:$B$11,"Not Found")</f>
        <v/>
      </c>
    </row>
    <row r="74">
      <c r="A74" t="inlineStr">
        <is>
          <t>ORD0073</t>
        </is>
      </c>
      <c r="B74" t="n">
        <v>1006</v>
      </c>
      <c r="C74" t="inlineStr">
        <is>
          <t>Rajkot</t>
        </is>
      </c>
      <c r="D74" s="3" t="n">
        <v>46240</v>
      </c>
      <c r="E74" t="inlineStr">
        <is>
          <t>Neha</t>
        </is>
      </c>
      <c r="F74" t="n">
        <v>34</v>
      </c>
      <c r="G74" t="n">
        <v>243.86</v>
      </c>
      <c r="H74" t="inlineStr">
        <is>
          <t>Delivered</t>
        </is>
      </c>
      <c r="I74">
        <f>XLOOKUP(B74,'02_Restaurant_Details'!$A$2:$A$11,'02_Restaurant_Details'!$B$2:$B$11,"Not Found")</f>
        <v/>
      </c>
    </row>
    <row r="75">
      <c r="A75" t="inlineStr">
        <is>
          <t>ORD0074</t>
        </is>
      </c>
      <c r="B75" t="n">
        <v>1010</v>
      </c>
      <c r="C75" t="inlineStr">
        <is>
          <t>Rajkot</t>
        </is>
      </c>
      <c r="D75" s="3" t="n">
        <v>46256</v>
      </c>
      <c r="E75" t="inlineStr">
        <is>
          <t>Sneha</t>
        </is>
      </c>
      <c r="F75" t="n">
        <v>25</v>
      </c>
      <c r="G75" t="n">
        <v>277.4</v>
      </c>
      <c r="H75" t="inlineStr">
        <is>
          <t>Delivered</t>
        </is>
      </c>
      <c r="I75">
        <f>XLOOKUP(B75,'02_Restaurant_Details'!$A$2:$A$11,'02_Restaurant_Details'!$B$2:$B$11,"Not Found")</f>
        <v/>
      </c>
    </row>
    <row r="76">
      <c r="A76" t="inlineStr">
        <is>
          <t>ORD0075</t>
        </is>
      </c>
      <c r="B76" t="n">
        <v>1003</v>
      </c>
      <c r="C76" t="inlineStr">
        <is>
          <t>Vadodara</t>
        </is>
      </c>
      <c r="D76" s="3" t="n">
        <v>46239</v>
      </c>
      <c r="E76" t="inlineStr">
        <is>
          <t>Amit</t>
        </is>
      </c>
      <c r="F76" t="n">
        <v>36</v>
      </c>
      <c r="G76" t="n">
        <v>340.75</v>
      </c>
      <c r="H76" t="inlineStr">
        <is>
          <t>Delivered</t>
        </is>
      </c>
      <c r="I76">
        <f>XLOOKUP(B76,'02_Restaurant_Details'!$A$2:$A$11,'02_Restaurant_Details'!$B$2:$B$11,"Not Found")</f>
        <v/>
      </c>
    </row>
    <row r="77">
      <c r="A77" t="inlineStr">
        <is>
          <t>ORD0076</t>
        </is>
      </c>
      <c r="B77" t="n">
        <v>1006</v>
      </c>
      <c r="C77" t="inlineStr">
        <is>
          <t>Vadodara</t>
        </is>
      </c>
      <c r="D77" s="3" t="n">
        <v>46254</v>
      </c>
      <c r="E77" t="inlineStr">
        <is>
          <t>Amit</t>
        </is>
      </c>
      <c r="F77" t="n">
        <v>37</v>
      </c>
      <c r="G77" t="n">
        <v>249.56</v>
      </c>
      <c r="H77" t="inlineStr">
        <is>
          <t>Delivered</t>
        </is>
      </c>
      <c r="I77">
        <f>XLOOKUP(B77,'02_Restaurant_Details'!$A$2:$A$11,'02_Restaurant_Details'!$B$2:$B$11,"Not Found")</f>
        <v/>
      </c>
    </row>
    <row r="78">
      <c r="A78" t="inlineStr">
        <is>
          <t>ORD0077</t>
        </is>
      </c>
      <c r="B78" t="n">
        <v>1004</v>
      </c>
      <c r="C78" t="inlineStr">
        <is>
          <t>Surat</t>
        </is>
      </c>
      <c r="D78" s="3" t="n">
        <v>46239</v>
      </c>
      <c r="E78" t="inlineStr">
        <is>
          <t>Neha</t>
        </is>
      </c>
      <c r="F78" t="n">
        <v>38</v>
      </c>
      <c r="G78" t="n">
        <v>118.5</v>
      </c>
      <c r="H78" t="inlineStr">
        <is>
          <t>Delivered</t>
        </is>
      </c>
      <c r="I78">
        <f>XLOOKUP(B78,'02_Restaurant_Details'!$A$2:$A$11,'02_Restaurant_Details'!$B$2:$B$11,"Not Found")</f>
        <v/>
      </c>
    </row>
    <row r="79">
      <c r="A79" t="inlineStr">
        <is>
          <t>ORD0078</t>
        </is>
      </c>
      <c r="B79" t="n">
        <v>1004</v>
      </c>
      <c r="C79" t="inlineStr">
        <is>
          <t>Ahmedabad</t>
        </is>
      </c>
      <c r="D79" s="3" t="n">
        <v>46253</v>
      </c>
      <c r="E79" t="inlineStr">
        <is>
          <t>Unassigned</t>
        </is>
      </c>
      <c r="F79" t="n">
        <v>55</v>
      </c>
      <c r="G79" t="n">
        <v>130.92</v>
      </c>
      <c r="H79" t="inlineStr">
        <is>
          <t>Delivered</t>
        </is>
      </c>
      <c r="I79">
        <f>XLOOKUP(B79,'02_Restaurant_Details'!$A$2:$A$11,'02_Restaurant_Details'!$B$2:$B$11,"Not Found")</f>
        <v/>
      </c>
    </row>
    <row r="80">
      <c r="A80" t="inlineStr">
        <is>
          <t>ORD0079</t>
        </is>
      </c>
      <c r="B80" t="n">
        <v>1007</v>
      </c>
      <c r="C80" t="inlineStr">
        <is>
          <t>Ahmedabad</t>
        </is>
      </c>
      <c r="D80" s="3" t="n">
        <v>46259</v>
      </c>
      <c r="E80" t="inlineStr">
        <is>
          <t>Rahul</t>
        </is>
      </c>
      <c r="F80" t="n">
        <v>19</v>
      </c>
      <c r="G80" t="n">
        <v>252.32</v>
      </c>
      <c r="H80" t="inlineStr">
        <is>
          <t>Cancelled</t>
        </is>
      </c>
      <c r="I80">
        <f>XLOOKUP(B80,'02_Restaurant_Details'!$A$2:$A$11,'02_Restaurant_Details'!$B$2:$B$11,"Not Found")</f>
        <v/>
      </c>
    </row>
    <row r="81">
      <c r="A81" t="inlineStr">
        <is>
          <t>ORD0080</t>
        </is>
      </c>
      <c r="B81" t="n">
        <v>1008</v>
      </c>
      <c r="C81" t="inlineStr">
        <is>
          <t>Rajkot</t>
        </is>
      </c>
      <c r="D81" s="3" t="n">
        <v>46251</v>
      </c>
      <c r="E81" t="inlineStr">
        <is>
          <t>Neha</t>
        </is>
      </c>
      <c r="F81" t="n">
        <v>50</v>
      </c>
      <c r="G81" t="n">
        <v>277.19</v>
      </c>
      <c r="H81" t="inlineStr">
        <is>
          <t>Delivered</t>
        </is>
      </c>
      <c r="I81">
        <f>XLOOKUP(B81,'02_Restaurant_Details'!$A$2:$A$11,'02_Restaurant_Details'!$B$2:$B$11,"Not Found")</f>
        <v/>
      </c>
    </row>
    <row r="82">
      <c r="A82" t="inlineStr">
        <is>
          <t>ORD0081</t>
        </is>
      </c>
      <c r="B82" t="n">
        <v>1006</v>
      </c>
      <c r="C82" t="inlineStr">
        <is>
          <t>Vadodara</t>
        </is>
      </c>
      <c r="D82" s="3" t="n">
        <v>46236</v>
      </c>
      <c r="E82" t="inlineStr">
        <is>
          <t>Mehul</t>
        </is>
      </c>
      <c r="F82" t="n">
        <v>28</v>
      </c>
      <c r="G82" t="n">
        <v>66.56</v>
      </c>
      <c r="H82" t="inlineStr">
        <is>
          <t>Cancelled</t>
        </is>
      </c>
      <c r="I82">
        <f>XLOOKUP(B82,'02_Restaurant_Details'!$A$2:$A$11,'02_Restaurant_Details'!$B$2:$B$11,"Not Found")</f>
        <v/>
      </c>
    </row>
    <row r="83">
      <c r="A83" t="inlineStr">
        <is>
          <t>ORD0082</t>
        </is>
      </c>
      <c r="B83" t="n">
        <v>1004</v>
      </c>
      <c r="C83" t="inlineStr">
        <is>
          <t>Gandhinagar</t>
        </is>
      </c>
      <c r="D83" s="3" t="n">
        <v>46251</v>
      </c>
      <c r="E83" t="inlineStr">
        <is>
          <t>Mehul</t>
        </is>
      </c>
      <c r="F83" t="n">
        <v>32</v>
      </c>
      <c r="G83" t="n">
        <v>341.61</v>
      </c>
      <c r="H83" t="inlineStr">
        <is>
          <t>Delivered</t>
        </is>
      </c>
      <c r="I83">
        <f>XLOOKUP(B83,'02_Restaurant_Details'!$A$2:$A$11,'02_Restaurant_Details'!$B$2:$B$11,"Not Found")</f>
        <v/>
      </c>
    </row>
    <row r="84">
      <c r="A84" t="inlineStr">
        <is>
          <t>ORD0083</t>
        </is>
      </c>
      <c r="B84" t="n">
        <v>1010</v>
      </c>
      <c r="C84" t="inlineStr">
        <is>
          <t>Vadodara</t>
        </is>
      </c>
      <c r="D84" s="3" t="n">
        <v>46256</v>
      </c>
      <c r="E84" t="inlineStr">
        <is>
          <t>Rahul</t>
        </is>
      </c>
      <c r="F84" t="n">
        <v>50</v>
      </c>
      <c r="G84" t="n">
        <v>59.87</v>
      </c>
      <c r="H84" t="inlineStr">
        <is>
          <t>Delivered</t>
        </is>
      </c>
      <c r="I84">
        <f>XLOOKUP(B84,'02_Restaurant_Details'!$A$2:$A$11,'02_Restaurant_Details'!$B$2:$B$11,"Not Found")</f>
        <v/>
      </c>
    </row>
    <row r="85">
      <c r="A85" t="inlineStr">
        <is>
          <t>ORD0084</t>
        </is>
      </c>
      <c r="B85" t="n">
        <v>1001</v>
      </c>
      <c r="C85" t="inlineStr">
        <is>
          <t>Vadodara</t>
        </is>
      </c>
      <c r="D85" s="3" t="n">
        <v>46265</v>
      </c>
      <c r="E85" t="inlineStr">
        <is>
          <t>Sneha</t>
        </is>
      </c>
      <c r="F85" t="n">
        <v>42</v>
      </c>
      <c r="G85" t="n">
        <v>72.25</v>
      </c>
      <c r="H85" t="inlineStr">
        <is>
          <t>Cancelled</t>
        </is>
      </c>
      <c r="I85">
        <f>XLOOKUP(B85,'02_Restaurant_Details'!$A$2:$A$11,'02_Restaurant_Details'!$B$2:$B$11,"Not Found")</f>
        <v/>
      </c>
    </row>
    <row r="86">
      <c r="A86" t="inlineStr">
        <is>
          <t>ORD0085</t>
        </is>
      </c>
      <c r="B86" t="n">
        <v>1009</v>
      </c>
      <c r="C86" t="inlineStr">
        <is>
          <t>Gandhinagar</t>
        </is>
      </c>
      <c r="D86" s="3" t="n">
        <v>46238</v>
      </c>
      <c r="E86" t="inlineStr">
        <is>
          <t>Mehul</t>
        </is>
      </c>
      <c r="F86" t="n">
        <v>25</v>
      </c>
      <c r="G86" t="n">
        <v>333.82</v>
      </c>
      <c r="H86" t="inlineStr">
        <is>
          <t>Delivered</t>
        </is>
      </c>
      <c r="I86">
        <f>XLOOKUP(B86,'02_Restaurant_Details'!$A$2:$A$11,'02_Restaurant_Details'!$B$2:$B$11,"Not Found")</f>
        <v/>
      </c>
    </row>
    <row r="87">
      <c r="A87" t="inlineStr">
        <is>
          <t>ORD0086</t>
        </is>
      </c>
      <c r="B87" t="n">
        <v>1007</v>
      </c>
      <c r="C87" t="inlineStr">
        <is>
          <t>Surat</t>
        </is>
      </c>
      <c r="D87" s="3" t="n">
        <v>46242</v>
      </c>
      <c r="E87" t="inlineStr">
        <is>
          <t>Neha</t>
        </is>
      </c>
      <c r="F87" t="n">
        <v>24</v>
      </c>
      <c r="G87" t="n">
        <v>347.46</v>
      </c>
      <c r="H87" t="inlineStr">
        <is>
          <t>Delivered</t>
        </is>
      </c>
      <c r="I87">
        <f>XLOOKUP(B87,'02_Restaurant_Details'!$A$2:$A$11,'02_Restaurant_Details'!$B$2:$B$11,"Not Found")</f>
        <v/>
      </c>
    </row>
    <row r="88">
      <c r="A88" t="inlineStr">
        <is>
          <t>ORD0087</t>
        </is>
      </c>
      <c r="B88" t="n">
        <v>1010</v>
      </c>
      <c r="C88" t="inlineStr">
        <is>
          <t>Rajkot</t>
        </is>
      </c>
      <c r="D88" s="3" t="n">
        <v>46245</v>
      </c>
      <c r="E88" t="inlineStr">
        <is>
          <t>Karan</t>
        </is>
      </c>
      <c r="F88" t="n">
        <v>41</v>
      </c>
      <c r="G88" t="n">
        <v>264.08</v>
      </c>
      <c r="H88" t="inlineStr">
        <is>
          <t>Delivered</t>
        </is>
      </c>
      <c r="I88">
        <f>XLOOKUP(B88,'02_Restaurant_Details'!$A$2:$A$11,'02_Restaurant_Details'!$B$2:$B$11,"Not Found")</f>
        <v/>
      </c>
    </row>
    <row r="89">
      <c r="A89" t="inlineStr">
        <is>
          <t>ORD0088</t>
        </is>
      </c>
      <c r="B89" t="n">
        <v>1006</v>
      </c>
      <c r="C89" t="inlineStr">
        <is>
          <t>Vadodara</t>
        </is>
      </c>
      <c r="D89" s="3" t="n">
        <v>46243</v>
      </c>
      <c r="E89" t="inlineStr">
        <is>
          <t>Amit</t>
        </is>
      </c>
      <c r="F89" t="n">
        <v>35</v>
      </c>
      <c r="G89" t="n">
        <v>269.23</v>
      </c>
      <c r="H89" t="inlineStr">
        <is>
          <t>Delivered</t>
        </is>
      </c>
      <c r="I89">
        <f>XLOOKUP(B89,'02_Restaurant_Details'!$A$2:$A$11,'02_Restaurant_Details'!$B$2:$B$11,"Not Found")</f>
        <v/>
      </c>
    </row>
    <row r="90">
      <c r="A90" t="inlineStr">
        <is>
          <t>ORD0089</t>
        </is>
      </c>
      <c r="B90" t="n">
        <v>1005</v>
      </c>
      <c r="C90" t="inlineStr">
        <is>
          <t>Rajkot</t>
        </is>
      </c>
      <c r="D90" s="3" t="n">
        <v>46252</v>
      </c>
      <c r="E90" t="inlineStr">
        <is>
          <t>Neha</t>
        </is>
      </c>
      <c r="F90" t="n">
        <v>24</v>
      </c>
      <c r="G90" t="n">
        <v>192.77</v>
      </c>
      <c r="H90" t="inlineStr">
        <is>
          <t>Delivered</t>
        </is>
      </c>
      <c r="I90">
        <f>XLOOKUP(B90,'02_Restaurant_Details'!$A$2:$A$11,'02_Restaurant_Details'!$B$2:$B$11,"Not Found")</f>
        <v/>
      </c>
    </row>
    <row r="91">
      <c r="A91" t="inlineStr">
        <is>
          <t>ORD0090</t>
        </is>
      </c>
      <c r="B91" t="n">
        <v>1003</v>
      </c>
      <c r="C91" t="inlineStr">
        <is>
          <t>Surat</t>
        </is>
      </c>
      <c r="D91" s="3" t="n">
        <v>46257</v>
      </c>
      <c r="E91" t="inlineStr">
        <is>
          <t>Sneha</t>
        </is>
      </c>
      <c r="F91" t="n">
        <v>23</v>
      </c>
      <c r="G91" t="n">
        <v>293.09</v>
      </c>
      <c r="H91" t="inlineStr">
        <is>
          <t>Cancelled</t>
        </is>
      </c>
      <c r="I91">
        <f>XLOOKUP(B91,'02_Restaurant_Details'!$A$2:$A$11,'02_Restaurant_Details'!$B$2:$B$11,"Not Found")</f>
        <v/>
      </c>
    </row>
    <row r="92">
      <c r="A92" t="inlineStr">
        <is>
          <t>ORD0091</t>
        </is>
      </c>
      <c r="B92" t="n">
        <v>1008</v>
      </c>
      <c r="C92" t="inlineStr">
        <is>
          <t>Rajkot</t>
        </is>
      </c>
      <c r="D92" s="3" t="n">
        <v>46251</v>
      </c>
      <c r="E92" t="inlineStr">
        <is>
          <t>Unassigned</t>
        </is>
      </c>
      <c r="F92" t="n">
        <v>23</v>
      </c>
      <c r="G92" t="n">
        <v>287.76</v>
      </c>
      <c r="H92" t="inlineStr">
        <is>
          <t>Cancelled</t>
        </is>
      </c>
      <c r="I92">
        <f>XLOOKUP(B92,'02_Restaurant_Details'!$A$2:$A$11,'02_Restaurant_Details'!$B$2:$B$11,"Not Found")</f>
        <v/>
      </c>
    </row>
    <row r="93">
      <c r="A93" t="inlineStr">
        <is>
          <t>ORD0092</t>
        </is>
      </c>
      <c r="B93" t="n">
        <v>1002</v>
      </c>
      <c r="C93" t="inlineStr">
        <is>
          <t>Rajkot</t>
        </is>
      </c>
      <c r="D93" s="3" t="n">
        <v>46244</v>
      </c>
      <c r="E93" t="inlineStr">
        <is>
          <t>Karan</t>
        </is>
      </c>
      <c r="F93" t="n">
        <v>27</v>
      </c>
      <c r="G93" t="n">
        <v>288.46</v>
      </c>
      <c r="H93" t="inlineStr">
        <is>
          <t>Cancelled</t>
        </is>
      </c>
      <c r="I93">
        <f>XLOOKUP(B93,'02_Restaurant_Details'!$A$2:$A$11,'02_Restaurant_Details'!$B$2:$B$11,"Not Found")</f>
        <v/>
      </c>
    </row>
    <row r="94">
      <c r="A94" t="inlineStr">
        <is>
          <t>ORD0093</t>
        </is>
      </c>
      <c r="B94" t="n">
        <v>1009</v>
      </c>
      <c r="C94" t="inlineStr">
        <is>
          <t>Vadodara</t>
        </is>
      </c>
      <c r="D94" s="3" t="n">
        <v>46249</v>
      </c>
      <c r="E94" t="inlineStr">
        <is>
          <t>Sneha</t>
        </is>
      </c>
      <c r="F94" t="n">
        <v>43</v>
      </c>
      <c r="G94" t="n">
        <v>169.98</v>
      </c>
      <c r="H94" t="inlineStr">
        <is>
          <t>Cancelled</t>
        </is>
      </c>
      <c r="I94">
        <f>XLOOKUP(B94,'02_Restaurant_Details'!$A$2:$A$11,'02_Restaurant_Details'!$B$2:$B$11,"Not Found")</f>
        <v/>
      </c>
    </row>
    <row r="95">
      <c r="A95" t="inlineStr">
        <is>
          <t>ORD0094</t>
        </is>
      </c>
      <c r="B95" t="n">
        <v>1006</v>
      </c>
      <c r="C95" t="inlineStr">
        <is>
          <t>Rajkot</t>
        </is>
      </c>
      <c r="D95" s="3" t="n">
        <v>46263</v>
      </c>
      <c r="E95" t="inlineStr">
        <is>
          <t>Amit</t>
        </is>
      </c>
      <c r="F95" t="n">
        <v>48</v>
      </c>
      <c r="G95" t="n">
        <v>336.09</v>
      </c>
      <c r="H95" t="inlineStr">
        <is>
          <t>Delivered</t>
        </is>
      </c>
      <c r="I95">
        <f>XLOOKUP(B95,'02_Restaurant_Details'!$A$2:$A$11,'02_Restaurant_Details'!$B$2:$B$11,"Not Found")</f>
        <v/>
      </c>
    </row>
    <row r="96">
      <c r="A96" t="inlineStr">
        <is>
          <t>ORD0095</t>
        </is>
      </c>
      <c r="B96" t="n">
        <v>1006</v>
      </c>
      <c r="C96" t="inlineStr">
        <is>
          <t>Ahmedabad</t>
        </is>
      </c>
      <c r="D96" s="3" t="n">
        <v>46258</v>
      </c>
      <c r="E96" t="inlineStr">
        <is>
          <t>Mehul</t>
        </is>
      </c>
      <c r="F96" t="n">
        <v>20</v>
      </c>
      <c r="G96" t="n">
        <v>189.98</v>
      </c>
      <c r="H96" t="inlineStr">
        <is>
          <t>Delivered</t>
        </is>
      </c>
      <c r="I96">
        <f>XLOOKUP(B96,'02_Restaurant_Details'!$A$2:$A$11,'02_Restaurant_Details'!$B$2:$B$11,"Not Found")</f>
        <v/>
      </c>
    </row>
    <row r="97">
      <c r="A97" t="inlineStr">
        <is>
          <t>ORD0096</t>
        </is>
      </c>
      <c r="B97" t="n">
        <v>1007</v>
      </c>
      <c r="C97" t="inlineStr">
        <is>
          <t>Ahmedabad</t>
        </is>
      </c>
      <c r="D97" s="3" t="n">
        <v>46262</v>
      </c>
      <c r="E97" t="inlineStr">
        <is>
          <t>Priya</t>
        </is>
      </c>
      <c r="F97" t="n">
        <v>43</v>
      </c>
      <c r="G97" t="n">
        <v>147.7</v>
      </c>
      <c r="H97" t="inlineStr">
        <is>
          <t>Delivered</t>
        </is>
      </c>
      <c r="I97">
        <f>XLOOKUP(B97,'02_Restaurant_Details'!$A$2:$A$11,'02_Restaurant_Details'!$B$2:$B$11,"Not Found")</f>
        <v/>
      </c>
    </row>
    <row r="98">
      <c r="A98" t="inlineStr">
        <is>
          <t>ORD0097</t>
        </is>
      </c>
      <c r="B98" t="n">
        <v>1001</v>
      </c>
      <c r="C98" t="inlineStr">
        <is>
          <t>Rajkot</t>
        </is>
      </c>
      <c r="D98" s="3" t="n">
        <v>46240</v>
      </c>
      <c r="E98" t="inlineStr">
        <is>
          <t>Priya</t>
        </is>
      </c>
      <c r="F98" t="n">
        <v>40</v>
      </c>
      <c r="G98" t="n">
        <v>106.68</v>
      </c>
      <c r="H98" t="inlineStr">
        <is>
          <t>Delivered</t>
        </is>
      </c>
      <c r="I98">
        <f>XLOOKUP(B98,'02_Restaurant_Details'!$A$2:$A$11,'02_Restaurant_Details'!$B$2:$B$11,"Not Found")</f>
        <v/>
      </c>
    </row>
    <row r="99">
      <c r="A99" t="inlineStr">
        <is>
          <t>ORD0098</t>
        </is>
      </c>
      <c r="B99" t="n">
        <v>1001</v>
      </c>
      <c r="C99" t="inlineStr">
        <is>
          <t>Vadodara</t>
        </is>
      </c>
      <c r="D99" s="3" t="n">
        <v>46237</v>
      </c>
      <c r="E99" t="inlineStr">
        <is>
          <t>Rahul</t>
        </is>
      </c>
      <c r="F99" t="n">
        <v>23</v>
      </c>
      <c r="G99" t="n">
        <v>274.31</v>
      </c>
      <c r="H99" t="inlineStr">
        <is>
          <t>Cancelled</t>
        </is>
      </c>
      <c r="I99">
        <f>XLOOKUP(B99,'02_Restaurant_Details'!$A$2:$A$11,'02_Restaurant_Details'!$B$2:$B$11,"Not Found")</f>
        <v/>
      </c>
    </row>
    <row r="100">
      <c r="A100" t="inlineStr">
        <is>
          <t>ORD0099</t>
        </is>
      </c>
      <c r="B100" t="n">
        <v>1010</v>
      </c>
      <c r="C100" t="inlineStr">
        <is>
          <t>Gandhinagar</t>
        </is>
      </c>
      <c r="D100" s="3" t="n">
        <v>46256</v>
      </c>
      <c r="E100" t="inlineStr">
        <is>
          <t>Neha</t>
        </is>
      </c>
      <c r="F100" t="n">
        <v>54</v>
      </c>
      <c r="G100" t="n">
        <v>283.03</v>
      </c>
      <c r="H100" t="inlineStr">
        <is>
          <t>Delivered</t>
        </is>
      </c>
      <c r="I100">
        <f>XLOOKUP(B100,'02_Restaurant_Details'!$A$2:$A$11,'02_Restaurant_Details'!$B$2:$B$11,"Not Found")</f>
        <v/>
      </c>
    </row>
    <row r="101">
      <c r="A101" t="inlineStr">
        <is>
          <t>ORD0100</t>
        </is>
      </c>
      <c r="B101" t="n">
        <v>1009</v>
      </c>
      <c r="C101" t="inlineStr">
        <is>
          <t>Ahmedabad</t>
        </is>
      </c>
      <c r="D101" s="3" t="n">
        <v>46253</v>
      </c>
      <c r="E101" t="inlineStr">
        <is>
          <t>Amit</t>
        </is>
      </c>
      <c r="F101" t="n">
        <v>52</v>
      </c>
      <c r="G101" t="n">
        <v>136.31</v>
      </c>
      <c r="H101" t="inlineStr">
        <is>
          <t>Cancelled</t>
        </is>
      </c>
      <c r="I101">
        <f>XLOOKUP(B101,'02_Restaurant_Details'!$A$2:$A$11,'02_Restaurant_Details'!$B$2:$B$11,"Not Found")</f>
        <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10" customWidth="1" min="1" max="1"/>
    <col width="21" customWidth="1" min="2" max="2"/>
    <col width="20" customWidth="1" min="3" max="3"/>
    <col width="18" customWidth="1" min="4" max="4"/>
  </cols>
  <sheetData>
    <row r="1">
      <c r="A1" s="1" t="inlineStr">
        <is>
          <t>Order ID</t>
        </is>
      </c>
      <c r="B1" s="1" t="inlineStr">
        <is>
          <t>Delivery Date</t>
        </is>
      </c>
      <c r="C1" s="1" t="inlineStr">
        <is>
          <t>Day of Week</t>
        </is>
      </c>
      <c r="D1" s="1" t="inlineStr">
        <is>
          <t>WEEKDAY Number</t>
        </is>
      </c>
    </row>
    <row r="2">
      <c r="A2" t="inlineStr">
        <is>
          <t>ORD0001</t>
        </is>
      </c>
      <c r="B2" s="3" t="n">
        <v>46235</v>
      </c>
      <c r="C2">
        <f>TEXT(B2,"dddd")</f>
        <v/>
      </c>
      <c r="D2">
        <f>WEEKDAY(B2,2)</f>
        <v/>
      </c>
    </row>
    <row r="3">
      <c r="A3" t="inlineStr">
        <is>
          <t>ORD0002</t>
        </is>
      </c>
      <c r="B3" s="3" t="n">
        <v>46243</v>
      </c>
      <c r="C3">
        <f>TEXT(B3,"dddd")</f>
        <v/>
      </c>
      <c r="D3">
        <f>WEEKDAY(B3,2)</f>
        <v/>
      </c>
    </row>
    <row r="4">
      <c r="A4" t="inlineStr">
        <is>
          <t>ORD0003</t>
        </is>
      </c>
      <c r="B4" s="3" t="n">
        <v>46257</v>
      </c>
      <c r="C4">
        <f>TEXT(B4,"dddd")</f>
        <v/>
      </c>
      <c r="D4">
        <f>WEEKDAY(B4,2)</f>
        <v/>
      </c>
    </row>
    <row r="5">
      <c r="A5" t="inlineStr">
        <is>
          <t>ORD0004</t>
        </is>
      </c>
      <c r="B5" s="3" t="n">
        <v>46241</v>
      </c>
      <c r="C5">
        <f>TEXT(B5,"dddd")</f>
        <v/>
      </c>
      <c r="D5">
        <f>WEEKDAY(B5,2)</f>
        <v/>
      </c>
    </row>
    <row r="6">
      <c r="A6" t="inlineStr">
        <is>
          <t>ORD0005</t>
        </is>
      </c>
      <c r="B6" s="3" t="n">
        <v>46245</v>
      </c>
      <c r="C6">
        <f>TEXT(B6,"dddd")</f>
        <v/>
      </c>
      <c r="D6">
        <f>WEEKDAY(B6,2)</f>
        <v/>
      </c>
    </row>
    <row r="7">
      <c r="A7" t="inlineStr">
        <is>
          <t>ORD0006</t>
        </is>
      </c>
      <c r="B7" s="3" t="n">
        <v>46243</v>
      </c>
      <c r="C7">
        <f>TEXT(B7,"dddd")</f>
        <v/>
      </c>
      <c r="D7">
        <f>WEEKDAY(B7,2)</f>
        <v/>
      </c>
    </row>
    <row r="8">
      <c r="A8" t="inlineStr">
        <is>
          <t>ORD0007</t>
        </is>
      </c>
      <c r="B8" s="3" t="n">
        <v>46248</v>
      </c>
      <c r="C8">
        <f>TEXT(B8,"dddd")</f>
        <v/>
      </c>
      <c r="D8">
        <f>WEEKDAY(B8,2)</f>
        <v/>
      </c>
    </row>
    <row r="9">
      <c r="A9" t="inlineStr">
        <is>
          <t>ORD0008</t>
        </is>
      </c>
      <c r="B9" s="3" t="n">
        <v>46244</v>
      </c>
      <c r="C9">
        <f>TEXT(B9,"dddd")</f>
        <v/>
      </c>
      <c r="D9">
        <f>WEEKDAY(B9,2)</f>
        <v/>
      </c>
    </row>
    <row r="10">
      <c r="A10" t="inlineStr">
        <is>
          <t>ORD0009</t>
        </is>
      </c>
      <c r="B10" s="3" t="n">
        <v>46252</v>
      </c>
      <c r="C10">
        <f>TEXT(B10,"dddd")</f>
        <v/>
      </c>
      <c r="D10">
        <f>WEEKDAY(B10,2)</f>
        <v/>
      </c>
    </row>
    <row r="11">
      <c r="A11" t="inlineStr">
        <is>
          <t>ORD0010</t>
        </is>
      </c>
      <c r="B11" s="3" t="n">
        <v>46238</v>
      </c>
      <c r="C11">
        <f>TEXT(B11,"dddd")</f>
        <v/>
      </c>
      <c r="D11">
        <f>WEEKDAY(B11,2)</f>
        <v/>
      </c>
    </row>
    <row r="12">
      <c r="A12" t="inlineStr">
        <is>
          <t>ORD0011</t>
        </is>
      </c>
      <c r="B12" s="3" t="n">
        <v>46247</v>
      </c>
      <c r="C12">
        <f>TEXT(B12,"dddd")</f>
        <v/>
      </c>
      <c r="D12">
        <f>WEEKDAY(B12,2)</f>
        <v/>
      </c>
    </row>
    <row r="13">
      <c r="A13" t="inlineStr">
        <is>
          <t>ORD0012</t>
        </is>
      </c>
      <c r="B13" s="3" t="n">
        <v>46252</v>
      </c>
      <c r="C13">
        <f>TEXT(B13,"dddd")</f>
        <v/>
      </c>
      <c r="D13">
        <f>WEEKDAY(B13,2)</f>
        <v/>
      </c>
    </row>
    <row r="14">
      <c r="A14" t="inlineStr">
        <is>
          <t>ORD0013</t>
        </is>
      </c>
      <c r="B14" s="3" t="n">
        <v>46236</v>
      </c>
      <c r="C14">
        <f>TEXT(B14,"dddd")</f>
        <v/>
      </c>
      <c r="D14">
        <f>WEEKDAY(B14,2)</f>
        <v/>
      </c>
    </row>
    <row r="15">
      <c r="A15" t="inlineStr">
        <is>
          <t>ORD0014</t>
        </is>
      </c>
      <c r="B15" s="3" t="n">
        <v>46241</v>
      </c>
      <c r="C15">
        <f>TEXT(B15,"dddd")</f>
        <v/>
      </c>
      <c r="D15">
        <f>WEEKDAY(B15,2)</f>
        <v/>
      </c>
    </row>
    <row r="16">
      <c r="A16" t="inlineStr">
        <is>
          <t>ORD0015</t>
        </is>
      </c>
      <c r="B16" s="3" t="n">
        <v>46250</v>
      </c>
      <c r="C16">
        <f>TEXT(B16,"dddd")</f>
        <v/>
      </c>
      <c r="D16">
        <f>WEEKDAY(B16,2)</f>
        <v/>
      </c>
    </row>
    <row r="17">
      <c r="A17" t="inlineStr">
        <is>
          <t>ORD0016</t>
        </is>
      </c>
      <c r="B17" s="3" t="n">
        <v>46255</v>
      </c>
      <c r="C17">
        <f>TEXT(B17,"dddd")</f>
        <v/>
      </c>
      <c r="D17">
        <f>WEEKDAY(B17,2)</f>
        <v/>
      </c>
    </row>
    <row r="18">
      <c r="A18" t="inlineStr">
        <is>
          <t>ORD0017</t>
        </is>
      </c>
      <c r="B18" s="3" t="n">
        <v>46240</v>
      </c>
      <c r="C18">
        <f>TEXT(B18,"dddd")</f>
        <v/>
      </c>
      <c r="D18">
        <f>WEEKDAY(B18,2)</f>
        <v/>
      </c>
    </row>
    <row r="19">
      <c r="A19" t="inlineStr">
        <is>
          <t>ORD0018</t>
        </is>
      </c>
      <c r="B19" s="3" t="n">
        <v>46257</v>
      </c>
      <c r="C19">
        <f>TEXT(B19,"dddd")</f>
        <v/>
      </c>
      <c r="D19">
        <f>WEEKDAY(B19,2)</f>
        <v/>
      </c>
    </row>
    <row r="20">
      <c r="A20" t="inlineStr">
        <is>
          <t>ORD0019</t>
        </is>
      </c>
      <c r="B20" s="3" t="n">
        <v>46241</v>
      </c>
      <c r="C20">
        <f>TEXT(B20,"dddd")</f>
        <v/>
      </c>
      <c r="D20">
        <f>WEEKDAY(B20,2)</f>
        <v/>
      </c>
    </row>
    <row r="21">
      <c r="A21" t="inlineStr">
        <is>
          <t>ORD0020</t>
        </is>
      </c>
      <c r="B21" s="3" t="n">
        <v>46259</v>
      </c>
      <c r="C21">
        <f>TEXT(B21,"dddd")</f>
        <v/>
      </c>
      <c r="D21">
        <f>WEEKDAY(B21,2)</f>
        <v/>
      </c>
    </row>
    <row r="22">
      <c r="A22" t="inlineStr">
        <is>
          <t>ORD0021</t>
        </is>
      </c>
      <c r="B22" s="3" t="n">
        <v>46238</v>
      </c>
      <c r="C22">
        <f>TEXT(B22,"dddd")</f>
        <v/>
      </c>
      <c r="D22">
        <f>WEEKDAY(B22,2)</f>
        <v/>
      </c>
    </row>
    <row r="23">
      <c r="A23" t="inlineStr">
        <is>
          <t>ORD0022</t>
        </is>
      </c>
      <c r="B23" s="3" t="n">
        <v>46259</v>
      </c>
      <c r="C23">
        <f>TEXT(B23,"dddd")</f>
        <v/>
      </c>
      <c r="D23">
        <f>WEEKDAY(B23,2)</f>
        <v/>
      </c>
    </row>
    <row r="24">
      <c r="A24" t="inlineStr">
        <is>
          <t>ORD0023</t>
        </is>
      </c>
      <c r="B24" s="3" t="n">
        <v>46242</v>
      </c>
      <c r="C24">
        <f>TEXT(B24,"dddd")</f>
        <v/>
      </c>
      <c r="D24">
        <f>WEEKDAY(B24,2)</f>
        <v/>
      </c>
    </row>
    <row r="25">
      <c r="A25" t="inlineStr">
        <is>
          <t>ORD0024</t>
        </is>
      </c>
      <c r="B25" s="3" t="n">
        <v>46240</v>
      </c>
      <c r="C25">
        <f>TEXT(B25,"dddd")</f>
        <v/>
      </c>
      <c r="D25">
        <f>WEEKDAY(B25,2)</f>
        <v/>
      </c>
    </row>
    <row r="26">
      <c r="A26" t="inlineStr">
        <is>
          <t>ORD0025</t>
        </is>
      </c>
      <c r="B26" s="3" t="n">
        <v>46236</v>
      </c>
      <c r="C26">
        <f>TEXT(B26,"dddd")</f>
        <v/>
      </c>
      <c r="D26">
        <f>WEEKDAY(B26,2)</f>
        <v/>
      </c>
    </row>
    <row r="27">
      <c r="A27" t="inlineStr">
        <is>
          <t>ORD0026</t>
        </is>
      </c>
      <c r="B27" s="3" t="n">
        <v>46262</v>
      </c>
      <c r="C27">
        <f>TEXT(B27,"dddd")</f>
        <v/>
      </c>
      <c r="D27">
        <f>WEEKDAY(B27,2)</f>
        <v/>
      </c>
    </row>
    <row r="28">
      <c r="A28" t="inlineStr">
        <is>
          <t>ORD0027</t>
        </is>
      </c>
      <c r="B28" s="3" t="n">
        <v>46243</v>
      </c>
      <c r="C28">
        <f>TEXT(B28,"dddd")</f>
        <v/>
      </c>
      <c r="D28">
        <f>WEEKDAY(B28,2)</f>
        <v/>
      </c>
    </row>
    <row r="29">
      <c r="A29" t="inlineStr">
        <is>
          <t>ORD0028</t>
        </is>
      </c>
      <c r="B29" s="3" t="n">
        <v>46252</v>
      </c>
      <c r="C29">
        <f>TEXT(B29,"dddd")</f>
        <v/>
      </c>
      <c r="D29">
        <f>WEEKDAY(B29,2)</f>
        <v/>
      </c>
    </row>
    <row r="30">
      <c r="A30" t="inlineStr">
        <is>
          <t>ORD0029</t>
        </is>
      </c>
      <c r="B30" s="3" t="n">
        <v>46243</v>
      </c>
      <c r="C30">
        <f>TEXT(B30,"dddd")</f>
        <v/>
      </c>
      <c r="D30">
        <f>WEEKDAY(B30,2)</f>
        <v/>
      </c>
    </row>
    <row r="31">
      <c r="A31" t="inlineStr">
        <is>
          <t>ORD0030</t>
        </is>
      </c>
      <c r="B31" s="3" t="n">
        <v>46252</v>
      </c>
      <c r="C31">
        <f>TEXT(B31,"dddd")</f>
        <v/>
      </c>
      <c r="D31">
        <f>WEEKDAY(B31,2)</f>
        <v/>
      </c>
    </row>
    <row r="32">
      <c r="A32" t="inlineStr">
        <is>
          <t>ORD0031</t>
        </is>
      </c>
      <c r="B32" s="3" t="n">
        <v>46241</v>
      </c>
      <c r="C32">
        <f>TEXT(B32,"dddd")</f>
        <v/>
      </c>
      <c r="D32">
        <f>WEEKDAY(B32,2)</f>
        <v/>
      </c>
    </row>
    <row r="33">
      <c r="A33" t="inlineStr">
        <is>
          <t>ORD0032</t>
        </is>
      </c>
      <c r="B33" s="3" t="n">
        <v>46236</v>
      </c>
      <c r="C33">
        <f>TEXT(B33,"dddd")</f>
        <v/>
      </c>
      <c r="D33">
        <f>WEEKDAY(B33,2)</f>
        <v/>
      </c>
    </row>
    <row r="34">
      <c r="A34" t="inlineStr">
        <is>
          <t>ORD0033</t>
        </is>
      </c>
      <c r="B34" s="3" t="n">
        <v>46259</v>
      </c>
      <c r="C34">
        <f>TEXT(B34,"dddd")</f>
        <v/>
      </c>
      <c r="D34">
        <f>WEEKDAY(B34,2)</f>
        <v/>
      </c>
    </row>
    <row r="35">
      <c r="A35" t="inlineStr">
        <is>
          <t>ORD0034</t>
        </is>
      </c>
      <c r="B35" s="3" t="n">
        <v>46253</v>
      </c>
      <c r="C35">
        <f>TEXT(B35,"dddd")</f>
        <v/>
      </c>
      <c r="D35">
        <f>WEEKDAY(B35,2)</f>
        <v/>
      </c>
    </row>
    <row r="36">
      <c r="A36" t="inlineStr">
        <is>
          <t>ORD0035</t>
        </is>
      </c>
      <c r="B36" s="3" t="n">
        <v>46253</v>
      </c>
      <c r="C36">
        <f>TEXT(B36,"dddd")</f>
        <v/>
      </c>
      <c r="D36">
        <f>WEEKDAY(B36,2)</f>
        <v/>
      </c>
    </row>
    <row r="37">
      <c r="A37" t="inlineStr">
        <is>
          <t>ORD0036</t>
        </is>
      </c>
      <c r="B37" s="3" t="n">
        <v>46255</v>
      </c>
      <c r="C37">
        <f>TEXT(B37,"dddd")</f>
        <v/>
      </c>
      <c r="D37">
        <f>WEEKDAY(B37,2)</f>
        <v/>
      </c>
    </row>
    <row r="38">
      <c r="A38" t="inlineStr">
        <is>
          <t>ORD0037</t>
        </is>
      </c>
      <c r="B38" s="3" t="n">
        <v>46264</v>
      </c>
      <c r="C38">
        <f>TEXT(B38,"dddd")</f>
        <v/>
      </c>
      <c r="D38">
        <f>WEEKDAY(B38,2)</f>
        <v/>
      </c>
    </row>
    <row r="39">
      <c r="A39" t="inlineStr">
        <is>
          <t>ORD0038</t>
        </is>
      </c>
      <c r="B39" s="3" t="n">
        <v>46264</v>
      </c>
      <c r="C39">
        <f>TEXT(B39,"dddd")</f>
        <v/>
      </c>
      <c r="D39">
        <f>WEEKDAY(B39,2)</f>
        <v/>
      </c>
    </row>
    <row r="40">
      <c r="A40" t="inlineStr">
        <is>
          <t>ORD0039</t>
        </is>
      </c>
      <c r="B40" s="3" t="n">
        <v>46248</v>
      </c>
      <c r="C40">
        <f>TEXT(B40,"dddd")</f>
        <v/>
      </c>
      <c r="D40">
        <f>WEEKDAY(B40,2)</f>
        <v/>
      </c>
    </row>
    <row r="41">
      <c r="A41" t="inlineStr">
        <is>
          <t>ORD0040</t>
        </is>
      </c>
      <c r="B41" s="3" t="n">
        <v>46252</v>
      </c>
      <c r="C41">
        <f>TEXT(B41,"dddd")</f>
        <v/>
      </c>
      <c r="D41">
        <f>WEEKDAY(B41,2)</f>
        <v/>
      </c>
    </row>
    <row r="42">
      <c r="A42" t="inlineStr">
        <is>
          <t>ORD0041</t>
        </is>
      </c>
      <c r="B42" s="3" t="n">
        <v>46252</v>
      </c>
      <c r="C42">
        <f>TEXT(B42,"dddd")</f>
        <v/>
      </c>
      <c r="D42">
        <f>WEEKDAY(B42,2)</f>
        <v/>
      </c>
    </row>
    <row r="43">
      <c r="A43" t="inlineStr">
        <is>
          <t>ORD0042</t>
        </is>
      </c>
      <c r="B43" s="3" t="n">
        <v>46239</v>
      </c>
      <c r="C43">
        <f>TEXT(B43,"dddd")</f>
        <v/>
      </c>
      <c r="D43">
        <f>WEEKDAY(B43,2)</f>
        <v/>
      </c>
    </row>
    <row r="44">
      <c r="A44" t="inlineStr">
        <is>
          <t>ORD0043</t>
        </is>
      </c>
      <c r="B44" s="3" t="n">
        <v>46252</v>
      </c>
      <c r="C44">
        <f>TEXT(B44,"dddd")</f>
        <v/>
      </c>
      <c r="D44">
        <f>WEEKDAY(B44,2)</f>
        <v/>
      </c>
    </row>
    <row r="45">
      <c r="A45" t="inlineStr">
        <is>
          <t>ORD0044</t>
        </is>
      </c>
      <c r="B45" s="3" t="n">
        <v>46241</v>
      </c>
      <c r="C45">
        <f>TEXT(B45,"dddd")</f>
        <v/>
      </c>
      <c r="D45">
        <f>WEEKDAY(B45,2)</f>
        <v/>
      </c>
    </row>
    <row r="46">
      <c r="A46" t="inlineStr">
        <is>
          <t>ORD0045</t>
        </is>
      </c>
      <c r="B46" s="3" t="n">
        <v>46236</v>
      </c>
      <c r="C46">
        <f>TEXT(B46,"dddd")</f>
        <v/>
      </c>
      <c r="D46">
        <f>WEEKDAY(B46,2)</f>
        <v/>
      </c>
    </row>
    <row r="47">
      <c r="A47" t="inlineStr">
        <is>
          <t>ORD0046</t>
        </is>
      </c>
      <c r="B47" s="3" t="n">
        <v>46244</v>
      </c>
      <c r="C47">
        <f>TEXT(B47,"dddd")</f>
        <v/>
      </c>
      <c r="D47">
        <f>WEEKDAY(B47,2)</f>
        <v/>
      </c>
    </row>
    <row r="48">
      <c r="A48" t="inlineStr">
        <is>
          <t>ORD0047</t>
        </is>
      </c>
      <c r="B48" s="3" t="n">
        <v>46253</v>
      </c>
      <c r="C48">
        <f>TEXT(B48,"dddd")</f>
        <v/>
      </c>
      <c r="D48">
        <f>WEEKDAY(B48,2)</f>
        <v/>
      </c>
    </row>
    <row r="49">
      <c r="A49" t="inlineStr">
        <is>
          <t>ORD0048</t>
        </is>
      </c>
      <c r="B49" s="3" t="n">
        <v>46260</v>
      </c>
      <c r="C49">
        <f>TEXT(B49,"dddd")</f>
        <v/>
      </c>
      <c r="D49">
        <f>WEEKDAY(B49,2)</f>
        <v/>
      </c>
    </row>
    <row r="50">
      <c r="A50" t="inlineStr">
        <is>
          <t>ORD0049</t>
        </is>
      </c>
      <c r="B50" s="3" t="n">
        <v>46249</v>
      </c>
      <c r="C50">
        <f>TEXT(B50,"dddd")</f>
        <v/>
      </c>
      <c r="D50">
        <f>WEEKDAY(B50,2)</f>
        <v/>
      </c>
    </row>
    <row r="51">
      <c r="A51" t="inlineStr">
        <is>
          <t>ORD0050</t>
        </is>
      </c>
      <c r="B51" s="3" t="n">
        <v>46243</v>
      </c>
      <c r="C51">
        <f>TEXT(B51,"dddd")</f>
        <v/>
      </c>
      <c r="D51">
        <f>WEEKDAY(B51,2)</f>
        <v/>
      </c>
    </row>
    <row r="52">
      <c r="A52" t="inlineStr">
        <is>
          <t>ORD0051</t>
        </is>
      </c>
      <c r="B52" s="3" t="n">
        <v>46236</v>
      </c>
      <c r="C52">
        <f>TEXT(B52,"dddd")</f>
        <v/>
      </c>
      <c r="D52">
        <f>WEEKDAY(B52,2)</f>
        <v/>
      </c>
    </row>
    <row r="53">
      <c r="A53" t="inlineStr">
        <is>
          <t>ORD0052</t>
        </is>
      </c>
      <c r="B53" s="3" t="n">
        <v>46253</v>
      </c>
      <c r="C53">
        <f>TEXT(B53,"dddd")</f>
        <v/>
      </c>
      <c r="D53">
        <f>WEEKDAY(B53,2)</f>
        <v/>
      </c>
    </row>
    <row r="54">
      <c r="A54" t="inlineStr">
        <is>
          <t>ORD0053</t>
        </is>
      </c>
      <c r="B54" s="3" t="n">
        <v>46252</v>
      </c>
      <c r="C54">
        <f>TEXT(B54,"dddd")</f>
        <v/>
      </c>
      <c r="D54">
        <f>WEEKDAY(B54,2)</f>
        <v/>
      </c>
    </row>
    <row r="55">
      <c r="A55" t="inlineStr">
        <is>
          <t>ORD0054</t>
        </is>
      </c>
      <c r="B55" s="3" t="n">
        <v>46238</v>
      </c>
      <c r="C55">
        <f>TEXT(B55,"dddd")</f>
        <v/>
      </c>
      <c r="D55">
        <f>WEEKDAY(B55,2)</f>
        <v/>
      </c>
    </row>
    <row r="56">
      <c r="A56" t="inlineStr">
        <is>
          <t>ORD0055</t>
        </is>
      </c>
      <c r="B56" s="3" t="n">
        <v>46240</v>
      </c>
      <c r="C56">
        <f>TEXT(B56,"dddd")</f>
        <v/>
      </c>
      <c r="D56">
        <f>WEEKDAY(B56,2)</f>
        <v/>
      </c>
    </row>
    <row r="57">
      <c r="A57" t="inlineStr">
        <is>
          <t>ORD0056</t>
        </is>
      </c>
      <c r="B57" s="3" t="n">
        <v>46240</v>
      </c>
      <c r="C57">
        <f>TEXT(B57,"dddd")</f>
        <v/>
      </c>
      <c r="D57">
        <f>WEEKDAY(B57,2)</f>
        <v/>
      </c>
    </row>
    <row r="58">
      <c r="A58" t="inlineStr">
        <is>
          <t>ORD0057</t>
        </is>
      </c>
      <c r="B58" s="3" t="n">
        <v>46257</v>
      </c>
      <c r="C58">
        <f>TEXT(B58,"dddd")</f>
        <v/>
      </c>
      <c r="D58">
        <f>WEEKDAY(B58,2)</f>
        <v/>
      </c>
    </row>
    <row r="59">
      <c r="A59" t="inlineStr">
        <is>
          <t>ORD0058</t>
        </is>
      </c>
      <c r="B59" s="3" t="n">
        <v>46245</v>
      </c>
      <c r="C59">
        <f>TEXT(B59,"dddd")</f>
        <v/>
      </c>
      <c r="D59">
        <f>WEEKDAY(B59,2)</f>
        <v/>
      </c>
    </row>
    <row r="60">
      <c r="A60" t="inlineStr">
        <is>
          <t>ORD0059</t>
        </is>
      </c>
      <c r="B60" s="3" t="n">
        <v>46246</v>
      </c>
      <c r="C60">
        <f>TEXT(B60,"dddd")</f>
        <v/>
      </c>
      <c r="D60">
        <f>WEEKDAY(B60,2)</f>
        <v/>
      </c>
    </row>
    <row r="61">
      <c r="A61" t="inlineStr">
        <is>
          <t>ORD0060</t>
        </is>
      </c>
      <c r="B61" s="3" t="n">
        <v>46259</v>
      </c>
      <c r="C61">
        <f>TEXT(B61,"dddd")</f>
        <v/>
      </c>
      <c r="D61">
        <f>WEEKDAY(B61,2)</f>
        <v/>
      </c>
    </row>
    <row r="62">
      <c r="A62" t="inlineStr">
        <is>
          <t>ORD0061</t>
        </is>
      </c>
      <c r="B62" s="3" t="n">
        <v>46253</v>
      </c>
      <c r="C62">
        <f>TEXT(B62,"dddd")</f>
        <v/>
      </c>
      <c r="D62">
        <f>WEEKDAY(B62,2)</f>
        <v/>
      </c>
    </row>
    <row r="63">
      <c r="A63" t="inlineStr">
        <is>
          <t>ORD0062</t>
        </is>
      </c>
      <c r="B63" s="3" t="n">
        <v>46238</v>
      </c>
      <c r="C63">
        <f>TEXT(B63,"dddd")</f>
        <v/>
      </c>
      <c r="D63">
        <f>WEEKDAY(B63,2)</f>
        <v/>
      </c>
    </row>
    <row r="64">
      <c r="A64" t="inlineStr">
        <is>
          <t>ORD0063</t>
        </is>
      </c>
      <c r="B64" s="3" t="n">
        <v>46249</v>
      </c>
      <c r="C64">
        <f>TEXT(B64,"dddd")</f>
        <v/>
      </c>
      <c r="D64">
        <f>WEEKDAY(B64,2)</f>
        <v/>
      </c>
    </row>
    <row r="65">
      <c r="A65" t="inlineStr">
        <is>
          <t>ORD0064</t>
        </is>
      </c>
      <c r="B65" s="3" t="n">
        <v>46241</v>
      </c>
      <c r="C65">
        <f>TEXT(B65,"dddd")</f>
        <v/>
      </c>
      <c r="D65">
        <f>WEEKDAY(B65,2)</f>
        <v/>
      </c>
    </row>
    <row r="66">
      <c r="A66" t="inlineStr">
        <is>
          <t>ORD0065</t>
        </is>
      </c>
      <c r="B66" s="3" t="n">
        <v>46236</v>
      </c>
      <c r="C66">
        <f>TEXT(B66,"dddd")</f>
        <v/>
      </c>
      <c r="D66">
        <f>WEEKDAY(B66,2)</f>
        <v/>
      </c>
    </row>
    <row r="67">
      <c r="A67" t="inlineStr">
        <is>
          <t>ORD0066</t>
        </is>
      </c>
      <c r="B67" s="3" t="n">
        <v>46240</v>
      </c>
      <c r="C67">
        <f>TEXT(B67,"dddd")</f>
        <v/>
      </c>
      <c r="D67">
        <f>WEEKDAY(B67,2)</f>
        <v/>
      </c>
    </row>
    <row r="68">
      <c r="A68" t="inlineStr">
        <is>
          <t>ORD0067</t>
        </is>
      </c>
      <c r="B68" s="3" t="n">
        <v>46259</v>
      </c>
      <c r="C68">
        <f>TEXT(B68,"dddd")</f>
        <v/>
      </c>
      <c r="D68">
        <f>WEEKDAY(B68,2)</f>
        <v/>
      </c>
    </row>
    <row r="69">
      <c r="A69" t="inlineStr">
        <is>
          <t>ORD0068</t>
        </is>
      </c>
      <c r="B69" s="3" t="n">
        <v>46244</v>
      </c>
      <c r="C69">
        <f>TEXT(B69,"dddd")</f>
        <v/>
      </c>
      <c r="D69">
        <f>WEEKDAY(B69,2)</f>
        <v/>
      </c>
    </row>
    <row r="70">
      <c r="A70" t="inlineStr">
        <is>
          <t>ORD0069</t>
        </is>
      </c>
      <c r="B70" s="3" t="n">
        <v>46248</v>
      </c>
      <c r="C70">
        <f>TEXT(B70,"dddd")</f>
        <v/>
      </c>
      <c r="D70">
        <f>WEEKDAY(B70,2)</f>
        <v/>
      </c>
    </row>
    <row r="71">
      <c r="A71" t="inlineStr">
        <is>
          <t>ORD0070</t>
        </is>
      </c>
      <c r="B71" s="3" t="n">
        <v>46260</v>
      </c>
      <c r="C71">
        <f>TEXT(B71,"dddd")</f>
        <v/>
      </c>
      <c r="D71">
        <f>WEEKDAY(B71,2)</f>
        <v/>
      </c>
    </row>
    <row r="72">
      <c r="A72" t="inlineStr">
        <is>
          <t>ORD0071</t>
        </is>
      </c>
      <c r="B72" s="3" t="n">
        <v>46241</v>
      </c>
      <c r="C72">
        <f>TEXT(B72,"dddd")</f>
        <v/>
      </c>
      <c r="D72">
        <f>WEEKDAY(B72,2)</f>
        <v/>
      </c>
    </row>
    <row r="73">
      <c r="A73" t="inlineStr">
        <is>
          <t>ORD0072</t>
        </is>
      </c>
      <c r="B73" s="3" t="n">
        <v>46252</v>
      </c>
      <c r="C73">
        <f>TEXT(B73,"dddd")</f>
        <v/>
      </c>
      <c r="D73">
        <f>WEEKDAY(B73,2)</f>
        <v/>
      </c>
    </row>
    <row r="74">
      <c r="A74" t="inlineStr">
        <is>
          <t>ORD0073</t>
        </is>
      </c>
      <c r="B74" s="3" t="n">
        <v>46240</v>
      </c>
      <c r="C74">
        <f>TEXT(B74,"dddd")</f>
        <v/>
      </c>
      <c r="D74">
        <f>WEEKDAY(B74,2)</f>
        <v/>
      </c>
    </row>
    <row r="75">
      <c r="A75" t="inlineStr">
        <is>
          <t>ORD0074</t>
        </is>
      </c>
      <c r="B75" s="3" t="n">
        <v>46256</v>
      </c>
      <c r="C75">
        <f>TEXT(B75,"dddd")</f>
        <v/>
      </c>
      <c r="D75">
        <f>WEEKDAY(B75,2)</f>
        <v/>
      </c>
    </row>
    <row r="76">
      <c r="A76" t="inlineStr">
        <is>
          <t>ORD0075</t>
        </is>
      </c>
      <c r="B76" s="3" t="n">
        <v>46239</v>
      </c>
      <c r="C76">
        <f>TEXT(B76,"dddd")</f>
        <v/>
      </c>
      <c r="D76">
        <f>WEEKDAY(B76,2)</f>
        <v/>
      </c>
    </row>
    <row r="77">
      <c r="A77" t="inlineStr">
        <is>
          <t>ORD0076</t>
        </is>
      </c>
      <c r="B77" s="3" t="n">
        <v>46254</v>
      </c>
      <c r="C77">
        <f>TEXT(B77,"dddd")</f>
        <v/>
      </c>
      <c r="D77">
        <f>WEEKDAY(B77,2)</f>
        <v/>
      </c>
    </row>
    <row r="78">
      <c r="A78" t="inlineStr">
        <is>
          <t>ORD0077</t>
        </is>
      </c>
      <c r="B78" s="3" t="n">
        <v>46239</v>
      </c>
      <c r="C78">
        <f>TEXT(B78,"dddd")</f>
        <v/>
      </c>
      <c r="D78">
        <f>WEEKDAY(B78,2)</f>
        <v/>
      </c>
    </row>
    <row r="79">
      <c r="A79" t="inlineStr">
        <is>
          <t>ORD0078</t>
        </is>
      </c>
      <c r="B79" s="3" t="n">
        <v>46253</v>
      </c>
      <c r="C79">
        <f>TEXT(B79,"dddd")</f>
        <v/>
      </c>
      <c r="D79">
        <f>WEEKDAY(B79,2)</f>
        <v/>
      </c>
    </row>
    <row r="80">
      <c r="A80" t="inlineStr">
        <is>
          <t>ORD0079</t>
        </is>
      </c>
      <c r="B80" s="3" t="n">
        <v>46259</v>
      </c>
      <c r="C80">
        <f>TEXT(B80,"dddd")</f>
        <v/>
      </c>
      <c r="D80">
        <f>WEEKDAY(B80,2)</f>
        <v/>
      </c>
    </row>
    <row r="81">
      <c r="A81" t="inlineStr">
        <is>
          <t>ORD0080</t>
        </is>
      </c>
      <c r="B81" s="3" t="n">
        <v>46251</v>
      </c>
      <c r="C81">
        <f>TEXT(B81,"dddd")</f>
        <v/>
      </c>
      <c r="D81">
        <f>WEEKDAY(B81,2)</f>
        <v/>
      </c>
    </row>
    <row r="82">
      <c r="A82" t="inlineStr">
        <is>
          <t>ORD0081</t>
        </is>
      </c>
      <c r="B82" s="3" t="n">
        <v>46236</v>
      </c>
      <c r="C82">
        <f>TEXT(B82,"dddd")</f>
        <v/>
      </c>
      <c r="D82">
        <f>WEEKDAY(B82,2)</f>
        <v/>
      </c>
    </row>
    <row r="83">
      <c r="A83" t="inlineStr">
        <is>
          <t>ORD0082</t>
        </is>
      </c>
      <c r="B83" s="3" t="n">
        <v>46251</v>
      </c>
      <c r="C83">
        <f>TEXT(B83,"dddd")</f>
        <v/>
      </c>
      <c r="D83">
        <f>WEEKDAY(B83,2)</f>
        <v/>
      </c>
    </row>
    <row r="84">
      <c r="A84" t="inlineStr">
        <is>
          <t>ORD0083</t>
        </is>
      </c>
      <c r="B84" s="3" t="n">
        <v>46256</v>
      </c>
      <c r="C84">
        <f>TEXT(B84,"dddd")</f>
        <v/>
      </c>
      <c r="D84">
        <f>WEEKDAY(B84,2)</f>
        <v/>
      </c>
    </row>
    <row r="85">
      <c r="A85" t="inlineStr">
        <is>
          <t>ORD0084</t>
        </is>
      </c>
      <c r="B85" s="3" t="n">
        <v>46265</v>
      </c>
      <c r="C85">
        <f>TEXT(B85,"dddd")</f>
        <v/>
      </c>
      <c r="D85">
        <f>WEEKDAY(B85,2)</f>
        <v/>
      </c>
    </row>
    <row r="86">
      <c r="A86" t="inlineStr">
        <is>
          <t>ORD0085</t>
        </is>
      </c>
      <c r="B86" s="3" t="n">
        <v>46238</v>
      </c>
      <c r="C86">
        <f>TEXT(B86,"dddd")</f>
        <v/>
      </c>
      <c r="D86">
        <f>WEEKDAY(B86,2)</f>
        <v/>
      </c>
    </row>
    <row r="87">
      <c r="A87" t="inlineStr">
        <is>
          <t>ORD0086</t>
        </is>
      </c>
      <c r="B87" s="3" t="n">
        <v>46242</v>
      </c>
      <c r="C87">
        <f>TEXT(B87,"dddd")</f>
        <v/>
      </c>
      <c r="D87">
        <f>WEEKDAY(B87,2)</f>
        <v/>
      </c>
    </row>
    <row r="88">
      <c r="A88" t="inlineStr">
        <is>
          <t>ORD0087</t>
        </is>
      </c>
      <c r="B88" s="3" t="n">
        <v>46245</v>
      </c>
      <c r="C88">
        <f>TEXT(B88,"dddd")</f>
        <v/>
      </c>
      <c r="D88">
        <f>WEEKDAY(B88,2)</f>
        <v/>
      </c>
    </row>
    <row r="89">
      <c r="A89" t="inlineStr">
        <is>
          <t>ORD0088</t>
        </is>
      </c>
      <c r="B89" s="3" t="n">
        <v>46243</v>
      </c>
      <c r="C89">
        <f>TEXT(B89,"dddd")</f>
        <v/>
      </c>
      <c r="D89">
        <f>WEEKDAY(B89,2)</f>
        <v/>
      </c>
    </row>
    <row r="90">
      <c r="A90" t="inlineStr">
        <is>
          <t>ORD0089</t>
        </is>
      </c>
      <c r="B90" s="3" t="n">
        <v>46252</v>
      </c>
      <c r="C90">
        <f>TEXT(B90,"dddd")</f>
        <v/>
      </c>
      <c r="D90">
        <f>WEEKDAY(B90,2)</f>
        <v/>
      </c>
    </row>
    <row r="91">
      <c r="A91" t="inlineStr">
        <is>
          <t>ORD0090</t>
        </is>
      </c>
      <c r="B91" s="3" t="n">
        <v>46257</v>
      </c>
      <c r="C91">
        <f>TEXT(B91,"dddd")</f>
        <v/>
      </c>
      <c r="D91">
        <f>WEEKDAY(B91,2)</f>
        <v/>
      </c>
    </row>
    <row r="92">
      <c r="A92" t="inlineStr">
        <is>
          <t>ORD0091</t>
        </is>
      </c>
      <c r="B92" s="3" t="n">
        <v>46251</v>
      </c>
      <c r="C92">
        <f>TEXT(B92,"dddd")</f>
        <v/>
      </c>
      <c r="D92">
        <f>WEEKDAY(B92,2)</f>
        <v/>
      </c>
    </row>
    <row r="93">
      <c r="A93" t="inlineStr">
        <is>
          <t>ORD0092</t>
        </is>
      </c>
      <c r="B93" s="3" t="n">
        <v>46244</v>
      </c>
      <c r="C93">
        <f>TEXT(B93,"dddd")</f>
        <v/>
      </c>
      <c r="D93">
        <f>WEEKDAY(B93,2)</f>
        <v/>
      </c>
    </row>
    <row r="94">
      <c r="A94" t="inlineStr">
        <is>
          <t>ORD0093</t>
        </is>
      </c>
      <c r="B94" s="3" t="n">
        <v>46249</v>
      </c>
      <c r="C94">
        <f>TEXT(B94,"dddd")</f>
        <v/>
      </c>
      <c r="D94">
        <f>WEEKDAY(B94,2)</f>
        <v/>
      </c>
    </row>
    <row r="95">
      <c r="A95" t="inlineStr">
        <is>
          <t>ORD0094</t>
        </is>
      </c>
      <c r="B95" s="3" t="n">
        <v>46263</v>
      </c>
      <c r="C95">
        <f>TEXT(B95,"dddd")</f>
        <v/>
      </c>
      <c r="D95">
        <f>WEEKDAY(B95,2)</f>
        <v/>
      </c>
    </row>
    <row r="96">
      <c r="A96" t="inlineStr">
        <is>
          <t>ORD0095</t>
        </is>
      </c>
      <c r="B96" s="3" t="n">
        <v>46258</v>
      </c>
      <c r="C96">
        <f>TEXT(B96,"dddd")</f>
        <v/>
      </c>
      <c r="D96">
        <f>WEEKDAY(B96,2)</f>
        <v/>
      </c>
    </row>
    <row r="97">
      <c r="A97" t="inlineStr">
        <is>
          <t>ORD0096</t>
        </is>
      </c>
      <c r="B97" s="3" t="n">
        <v>46262</v>
      </c>
      <c r="C97">
        <f>TEXT(B97,"dddd")</f>
        <v/>
      </c>
      <c r="D97">
        <f>WEEKDAY(B97,2)</f>
        <v/>
      </c>
    </row>
    <row r="98">
      <c r="A98" t="inlineStr">
        <is>
          <t>ORD0097</t>
        </is>
      </c>
      <c r="B98" s="3" t="n">
        <v>46240</v>
      </c>
      <c r="C98">
        <f>TEXT(B98,"dddd")</f>
        <v/>
      </c>
      <c r="D98">
        <f>WEEKDAY(B98,2)</f>
        <v/>
      </c>
    </row>
    <row r="99">
      <c r="A99" t="inlineStr">
        <is>
          <t>ORD0098</t>
        </is>
      </c>
      <c r="B99" s="3" t="n">
        <v>46237</v>
      </c>
      <c r="C99">
        <f>TEXT(B99,"dddd")</f>
        <v/>
      </c>
      <c r="D99">
        <f>WEEKDAY(B99,2)</f>
        <v/>
      </c>
    </row>
    <row r="100">
      <c r="A100" t="inlineStr">
        <is>
          <t>ORD0099</t>
        </is>
      </c>
      <c r="B100" s="3" t="n">
        <v>46256</v>
      </c>
      <c r="C100">
        <f>TEXT(B100,"dddd")</f>
        <v/>
      </c>
      <c r="D100">
        <f>WEEKDAY(B100,2)</f>
        <v/>
      </c>
    </row>
    <row r="101">
      <c r="A101" t="inlineStr">
        <is>
          <t>ORD0100</t>
        </is>
      </c>
      <c r="B101" s="3" t="n">
        <v>46253</v>
      </c>
      <c r="C101">
        <f>TEXT(B101,"dddd")</f>
        <v/>
      </c>
      <c r="D101">
        <f>WEEKDAY(B101,2)</f>
        <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3" customWidth="1" min="1" max="1"/>
    <col width="35" customWidth="1" min="2" max="2"/>
    <col width="35" customWidth="1" min="3" max="3"/>
  </cols>
  <sheetData>
    <row r="1">
      <c r="A1" s="1" t="inlineStr">
        <is>
          <t>City</t>
        </is>
      </c>
      <c r="B1" s="1" t="inlineStr">
        <is>
          <t>Total Orders</t>
        </is>
      </c>
      <c r="C1" s="1" t="inlineStr">
        <is>
          <t>Total Delivery Charges</t>
        </is>
      </c>
    </row>
    <row r="2">
      <c r="A2" t="inlineStr">
        <is>
          <t>Ahmedabad</t>
        </is>
      </c>
      <c r="B2">
        <f>COUNTIF('01B_Cleaned_Orders'!$C$2:$C$101,A2)</f>
        <v/>
      </c>
      <c r="C2" s="4">
        <f>SUMIF('01B_Cleaned_Orders'!$C$2:$C$101,A2,'01B_Cleaned_Orders'!$G$2:$G$101)</f>
        <v/>
      </c>
    </row>
    <row r="3">
      <c r="A3" t="inlineStr">
        <is>
          <t>Surat</t>
        </is>
      </c>
      <c r="B3">
        <f>COUNTIF('01B_Cleaned_Orders'!$C$2:$C$101,A3)</f>
        <v/>
      </c>
      <c r="C3" s="4">
        <f>SUMIF('01B_Cleaned_Orders'!$C$2:$C$101,A3,'01B_Cleaned_Orders'!$G$2:$G$101)</f>
        <v/>
      </c>
    </row>
    <row r="4">
      <c r="A4" t="inlineStr">
        <is>
          <t>Vadodara</t>
        </is>
      </c>
      <c r="B4">
        <f>COUNTIF('01B_Cleaned_Orders'!$C$2:$C$101,A4)</f>
        <v/>
      </c>
      <c r="C4" s="4">
        <f>SUMIF('01B_Cleaned_Orders'!$C$2:$C$101,A4,'01B_Cleaned_Orders'!$G$2:$G$101)</f>
        <v/>
      </c>
    </row>
    <row r="5">
      <c r="A5" t="inlineStr">
        <is>
          <t>Rajkot</t>
        </is>
      </c>
      <c r="B5">
        <f>COUNTIF('01B_Cleaned_Orders'!$C$2:$C$101,A5)</f>
        <v/>
      </c>
      <c r="C5" s="4">
        <f>SUMIF('01B_Cleaned_Orders'!$C$2:$C$101,A5,'01B_Cleaned_Orders'!$G$2:$G$101)</f>
        <v/>
      </c>
    </row>
    <row r="6">
      <c r="A6" t="inlineStr">
        <is>
          <t>Gandhinagar</t>
        </is>
      </c>
      <c r="B6">
        <f>COUNTIF('01B_Cleaned_Orders'!$C$2:$C$101,A6)</f>
        <v/>
      </c>
      <c r="C6" s="4">
        <f>SUMIF('01B_Cleaned_Orders'!$C$2:$C$101,A6,'01B_Cleaned_Orders'!$G$2:$G$101)</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5" customWidth="1" min="1" max="1"/>
    <col width="35" customWidth="1" min="2" max="2"/>
    <col width="10" customWidth="1" min="3" max="3"/>
    <col width="19" customWidth="1" min="4" max="4"/>
    <col width="35" customWidth="1" min="5" max="5"/>
    <col width="10" customWidth="1" min="6" max="6"/>
    <col width="35" customWidth="1" min="7" max="7"/>
  </cols>
  <sheetData>
    <row r="1">
      <c r="A1" s="5" t="inlineStr">
        <is>
          <t>FOOD DELIVERY ANALYTICS MINI DASHBOARD</t>
        </is>
      </c>
    </row>
    <row r="2"/>
    <row r="3">
      <c r="A3" s="6" t="inlineStr">
        <is>
          <t>KPI</t>
        </is>
      </c>
      <c r="B3" s="6" t="inlineStr">
        <is>
          <t>Value</t>
        </is>
      </c>
      <c r="D3" s="6" t="inlineStr">
        <is>
          <t>Top 3 Restaurants</t>
        </is>
      </c>
      <c r="E3" s="6" t="inlineStr">
        <is>
          <t>Orders</t>
        </is>
      </c>
      <c r="G3" t="inlineStr">
        <is>
          <t>City Filter / Slicer Area</t>
        </is>
      </c>
    </row>
    <row r="4">
      <c r="A4" t="inlineStr">
        <is>
          <t>Total Orders</t>
        </is>
      </c>
      <c r="B4">
        <f>COUNTA('01B_Cleaned_Orders'!A2:A104)</f>
        <v/>
      </c>
      <c r="D4" t="inlineStr">
        <is>
          <t>Spice Hub</t>
        </is>
      </c>
      <c r="E4">
        <f>COUNTIF('03_XLOOKUP_Result'!$I$2:$I$104,D4)</f>
        <v/>
      </c>
      <c r="G4" t="inlineStr">
        <is>
          <t>Insert Slicer in Excel for City using PivotTable.</t>
        </is>
      </c>
    </row>
    <row r="5">
      <c r="A5" t="inlineStr">
        <is>
          <t>Average Delivery Time</t>
        </is>
      </c>
      <c r="B5">
        <f>AVERAGE('01B_Cleaned_Orders'!F2:F104)</f>
        <v/>
      </c>
      <c r="D5" t="inlineStr">
        <is>
          <t>Urban Bites</t>
        </is>
      </c>
      <c r="E5">
        <f>COUNTIF('03_XLOOKUP_Result'!$I$2:$I$104,D5)</f>
        <v/>
      </c>
      <c r="G5" t="inlineStr">
        <is>
          <t>Use PivotTable/Charts connected to City field.</t>
        </is>
      </c>
    </row>
    <row r="6">
      <c r="A6" t="inlineStr">
        <is>
          <t>Total Delivery Charges</t>
        </is>
      </c>
      <c r="B6">
        <f>SUM('01B_Cleaned_Orders'!G2:G104)</f>
        <v/>
      </c>
      <c r="D6" t="inlineStr">
        <is>
          <t>Green Leaf Cafe</t>
        </is>
      </c>
      <c r="E6">
        <f>COUNTIF('03_XLOOKUP_Result'!$I$2:$I$104,D6)</f>
        <v/>
      </c>
      <c r="G6" t="inlineStr">
        <is>
          <t>This workbook includes the source data and summary.</t>
        </is>
      </c>
    </row>
    <row r="7"/>
    <row r="8"/>
    <row r="9">
      <c r="A9" t="inlineStr">
        <is>
          <t>Top 3 restaurant logic</t>
        </is>
      </c>
    </row>
    <row r="10">
      <c r="A10" s="2" t="inlineStr">
        <is>
          <t>Create a PivotTable from 03_XLOOKUP_Result, put Restaurant Name in Rows and Order ID in Values (Count), sort descending, then apply Top 3 filter.</t>
        </is>
      </c>
    </row>
    <row r="11"/>
  </sheetData>
  <mergeCells count="1">
    <mergeCell ref="A10:F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35" customWidth="1" min="2" max="2"/>
    <col width="35" customWidth="1" min="3" max="3"/>
  </cols>
  <sheetData>
    <row r="1">
      <c r="A1" s="1" t="inlineStr">
        <is>
          <t>Task</t>
        </is>
      </c>
      <c r="B1" s="1" t="inlineStr">
        <is>
          <t>Expected Macro Action</t>
        </is>
      </c>
      <c r="C1" s="1" t="inlineStr">
        <is>
          <t>How to Verify</t>
        </is>
      </c>
    </row>
    <row r="2">
      <c r="A2" t="inlineStr">
        <is>
          <t>1</t>
        </is>
      </c>
      <c r="B2" t="inlineStr">
        <is>
          <t>Enter your name in A1 and apply Bold</t>
        </is>
      </c>
      <c r="C2" t="inlineStr">
        <is>
          <t>Run Macro; A1 should show your name in bold</t>
        </is>
      </c>
    </row>
    <row r="3">
      <c r="A3" t="inlineStr">
        <is>
          <t>2</t>
        </is>
      </c>
      <c r="B3" t="inlineStr">
        <is>
          <t>Format 10-order header and autofit columns</t>
        </is>
      </c>
      <c r="C3" t="inlineStr">
        <is>
          <t>Header formatted; columns fit contents</t>
        </is>
      </c>
    </row>
    <row r="4">
      <c r="A4" t="inlineStr">
        <is>
          <t>3</t>
        </is>
      </c>
      <c r="B4" t="inlineStr">
        <is>
          <t>Save as .xlsm and reopen</t>
        </is>
      </c>
      <c r="C4" t="inlineStr">
        <is>
          <t>Enable macros and run a test macro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17" customWidth="1" min="2" max="2"/>
    <col width="10" customWidth="1" min="3" max="3"/>
    <col width="11" customWidth="1" min="4" max="4"/>
  </cols>
  <sheetData>
    <row r="1">
      <c r="A1" s="1" t="inlineStr">
        <is>
          <t>Order ID</t>
        </is>
      </c>
      <c r="B1" s="1" t="inlineStr">
        <is>
          <t>Restaurant</t>
        </is>
      </c>
      <c r="C1" s="1" t="inlineStr">
        <is>
          <t>Amount</t>
        </is>
      </c>
      <c r="D1" s="1" t="inlineStr">
        <is>
          <t>Status</t>
        </is>
      </c>
    </row>
    <row r="2">
      <c r="A2" t="inlineStr">
        <is>
          <t>FD001</t>
        </is>
      </c>
      <c r="B2" t="inlineStr">
        <is>
          <t>Spice Hub</t>
        </is>
      </c>
      <c r="C2" t="n">
        <v>250</v>
      </c>
      <c r="D2" t="inlineStr">
        <is>
          <t>Delivered</t>
        </is>
      </c>
    </row>
    <row r="3">
      <c r="A3" t="inlineStr">
        <is>
          <t>FD002</t>
        </is>
      </c>
      <c r="B3" t="inlineStr">
        <is>
          <t>Urban Bites</t>
        </is>
      </c>
      <c r="C3" t="n">
        <v>180</v>
      </c>
      <c r="D3" t="inlineStr">
        <is>
          <t>Delivered</t>
        </is>
      </c>
    </row>
    <row r="4">
      <c r="A4" t="inlineStr">
        <is>
          <t>FD003</t>
        </is>
      </c>
      <c r="B4" t="inlineStr">
        <is>
          <t>Pizza Point</t>
        </is>
      </c>
      <c r="C4" t="n">
        <v>420</v>
      </c>
      <c r="D4" t="inlineStr">
        <is>
          <t>Cancelled</t>
        </is>
      </c>
    </row>
    <row r="5">
      <c r="A5" t="inlineStr">
        <is>
          <t>FD004</t>
        </is>
      </c>
      <c r="B5" t="inlineStr">
        <is>
          <t>Dosa House</t>
        </is>
      </c>
      <c r="C5" t="n">
        <v>150</v>
      </c>
      <c r="D5" t="inlineStr">
        <is>
          <t>Delivered</t>
        </is>
      </c>
    </row>
    <row r="6">
      <c r="A6" t="inlineStr">
        <is>
          <t>FD005</t>
        </is>
      </c>
      <c r="B6" t="inlineStr">
        <is>
          <t>Burger Street</t>
        </is>
      </c>
      <c r="C6" t="n">
        <v>320</v>
      </c>
      <c r="D6" t="inlineStr">
        <is>
          <t>Delivered</t>
        </is>
      </c>
    </row>
    <row r="7">
      <c r="A7" t="inlineStr">
        <is>
          <t>FD006</t>
        </is>
      </c>
      <c r="B7" t="inlineStr">
        <is>
          <t>Royal Thali</t>
        </is>
      </c>
      <c r="C7" t="n">
        <v>275</v>
      </c>
      <c r="D7" t="inlineStr">
        <is>
          <t>Delivered</t>
        </is>
      </c>
    </row>
    <row r="8">
      <c r="A8" t="inlineStr">
        <is>
          <t>FD007</t>
        </is>
      </c>
      <c r="B8" t="inlineStr">
        <is>
          <t>Food Junction</t>
        </is>
      </c>
      <c r="C8" t="n">
        <v>199</v>
      </c>
      <c r="D8" t="inlineStr">
        <is>
          <t>Delivered</t>
        </is>
      </c>
    </row>
    <row r="9">
      <c r="A9" t="inlineStr">
        <is>
          <t>FD008</t>
        </is>
      </c>
      <c r="B9" t="inlineStr">
        <is>
          <t>Green Leaf Cafe</t>
        </is>
      </c>
      <c r="C9" t="n">
        <v>350</v>
      </c>
      <c r="D9" t="inlineStr">
        <is>
          <t>Cancelled</t>
        </is>
      </c>
    </row>
    <row r="10">
      <c r="A10" t="inlineStr">
        <is>
          <t>FD009</t>
        </is>
      </c>
      <c r="B10" t="inlineStr">
        <is>
          <t>Chai &amp; Snacks</t>
        </is>
      </c>
      <c r="C10" t="n">
        <v>120</v>
      </c>
      <c r="D10" t="inlineStr">
        <is>
          <t>Delivered</t>
        </is>
      </c>
    </row>
    <row r="11">
      <c r="A11" t="inlineStr">
        <is>
          <t>FD010</t>
        </is>
      </c>
      <c r="B11" t="inlineStr">
        <is>
          <t>The Curry Bowl</t>
        </is>
      </c>
      <c r="C11" t="n">
        <v>290</v>
      </c>
      <c r="D11" t="inlineStr">
        <is>
          <t>Delivered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5" customWidth="1" min="1" max="1"/>
    <col width="10" customWidth="1" min="2" max="2"/>
    <col width="35" customWidth="1" min="3" max="3"/>
  </cols>
  <sheetData>
    <row r="1">
      <c r="A1" s="1" t="inlineStr">
        <is>
          <t>Follower Name</t>
        </is>
      </c>
      <c r="C1" t="inlineStr">
        <is>
          <t>Macro task: delete blanks, sort A-Z, highlight names starting A in yellow.</t>
        </is>
      </c>
    </row>
    <row r="2">
      <c r="A2" t="inlineStr">
        <is>
          <t>Zoya</t>
        </is>
      </c>
    </row>
    <row r="3">
      <c r="A3" t="inlineStr">
        <is>
          <t>Amit</t>
        </is>
      </c>
    </row>
    <row r="4">
      <c r="A4" t="inlineStr">
        <is>
          <t>Rahul</t>
        </is>
      </c>
    </row>
    <row r="5">
      <c r="A5" t="inlineStr"/>
    </row>
    <row r="6">
      <c r="A6" t="inlineStr">
        <is>
          <t>Anjali</t>
        </is>
      </c>
    </row>
    <row r="7">
      <c r="A7" t="inlineStr">
        <is>
          <t>Karan</t>
        </is>
      </c>
    </row>
    <row r="8">
      <c r="A8" t="inlineStr">
        <is>
          <t>Aarav</t>
        </is>
      </c>
    </row>
    <row r="9">
      <c r="A9" t="inlineStr"/>
    </row>
    <row r="10">
      <c r="A10" t="inlineStr">
        <is>
          <t>Bhavna</t>
        </is>
      </c>
    </row>
    <row r="11">
      <c r="A11" t="inlineStr">
        <is>
          <t>Riya</t>
        </is>
      </c>
    </row>
    <row r="12">
      <c r="A12" t="inlineStr">
        <is>
          <t>Arjun</t>
        </is>
      </c>
    </row>
    <row r="13">
      <c r="A13" t="inlineStr">
        <is>
          <t>Neha</t>
        </is>
      </c>
    </row>
    <row r="14">
      <c r="A14" t="inlineStr">
        <is>
          <t>Aakash</t>
        </is>
      </c>
    </row>
    <row r="15">
      <c r="A15" t="inlineStr">
        <is>
          <t>Mehul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0" customWidth="1" min="1" max="1"/>
    <col width="100" customWidth="1" min="2" max="2"/>
  </cols>
  <sheetData>
    <row r="1">
      <c r="A1" s="1" t="inlineStr">
        <is>
          <t>Task</t>
        </is>
      </c>
      <c r="B1" s="1" t="inlineStr">
        <is>
          <t>VBA Code</t>
        </is>
      </c>
    </row>
    <row r="2">
      <c r="A2" t="inlineStr">
        <is>
          <t>1</t>
        </is>
      </c>
      <c r="B2" s="2" t="inlineStr">
        <is>
          <t>Sub WelcomeVBA()
    MsgBox "Welcome to VBA Programming!"
End Sub</t>
        </is>
      </c>
    </row>
    <row r="3">
      <c r="A3" t="inlineStr">
        <is>
          <t>2</t>
        </is>
      </c>
      <c r="B3" s="2" t="inlineStr">
        <is>
          <t>Sub DisplayVariables()
    Dim userName As String
    Dim orderCount As Integer
    Dim isPremiumUser As Boolean
    userName = "Jagadish"
    orderCount = 25
    isPremiumUser = True
    MsgBox "User: " &amp; userName &amp; vbCrLf &amp; _
           "Orders: " &amp; orderCount &amp; vbCrLf &amp; _
           "Premium User: " &amp; isPremiumUser
End Sub</t>
        </is>
      </c>
    </row>
    <row r="4">
      <c r="A4" t="inlineStr">
        <is>
          <t>3</t>
        </is>
      </c>
      <c r="B4" s="2" t="inlineStr">
        <is>
          <t>Sub CheckA1()
    If IsNumeric(Range("A1").Value) Then
        If Range("A1").Value &gt; 100 Then
            Range("A1").Interior.Color = RGB(0, 255, 0)
        Else
            Range("A1").Interior.Color = RGB(255, 0, 0)
        End If
    Else
        MsgBox "A1 does not contain a number."
    End If
End Sub</t>
        </is>
      </c>
    </row>
    <row r="5">
      <c r="A5" t="inlineStr">
        <is>
          <t>4</t>
        </is>
      </c>
      <c r="B5" s="2" t="inlineStr">
        <is>
          <t>Sub FillRowNumbers()
    Dim i As Integer
    For i = 1 To 10
        Cells(i, 1).Value = i
    Next i
End Sub</t>
        </is>
      </c>
    </row>
    <row r="6">
      <c r="A6" t="inlineStr">
        <is>
          <t>5</t>
        </is>
      </c>
      <c r="B6" s="2" t="inlineStr">
        <is>
          <t>Sub BoldAllSheets()
    Dim ws As Worksheet
    For Each ws In ThisWorkbook.Worksheets
        With ws.Range("A1:D1")
            .Font.Bold = True
            .Font.Size = 14
        End With
    Next ws
End Sub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00" customWidth="1" min="2" max="2"/>
  </cols>
  <sheetData>
    <row r="1">
      <c r="A1" s="1" t="inlineStr">
        <is>
          <t>Task</t>
        </is>
      </c>
      <c r="B1" s="1" t="inlineStr">
        <is>
          <t>Manual macro recorder steps</t>
        </is>
      </c>
    </row>
    <row r="2">
      <c r="A2" t="inlineStr">
        <is>
          <t>Recorded Macro</t>
        </is>
      </c>
      <c r="B2" s="2" t="inlineStr">
        <is>
          <t>Developer &gt; Record Macro &gt; name it Highlight_A_Followers.</t>
        </is>
      </c>
    </row>
    <row r="3">
      <c r="A3" t="inlineStr">
        <is>
          <t>Recorded Macro</t>
        </is>
      </c>
      <c r="B3" s="2" t="inlineStr">
        <is>
          <t>Delete blank rows from column A using Find/Select or filter, then sort column A A-Z. Stop Recording.</t>
        </is>
      </c>
    </row>
    <row r="4">
      <c r="A4" t="inlineStr">
        <is>
          <t>Recorded Macro</t>
        </is>
      </c>
      <c r="B4" s="2" t="inlineStr">
        <is>
          <t>To highlight A names without VBA: select the follower range &gt; Home &gt; Conditional Formatting &gt; Highlight Cells Rules &gt; Text that Contains &gt; enter A; OR use 'New Rule' formula =LEFT(A2,1)="A" and choose yellow fill. If the assignment specifically requires the recorder, record the formatting operation as part of the macro.</t>
        </is>
      </c>
    </row>
    <row r="5">
      <c r="A5" t="inlineStr">
        <is>
          <t>Recorded Macro</t>
        </is>
      </c>
      <c r="B5" s="2" t="inlineStr">
        <is>
          <t>Run the macro and verify blanks are removed, names sorted, and A-starting names are yellow.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1" t="inlineStr">
        <is>
          <t>Match ID</t>
        </is>
      </c>
      <c r="B1" s="1" t="inlineStr">
        <is>
          <t>Team 1</t>
        </is>
      </c>
      <c r="C1" s="1" t="inlineStr">
        <is>
          <t>Team 2</t>
        </is>
      </c>
      <c r="D1" s="1" t="inlineStr">
        <is>
          <t>Winner</t>
        </is>
      </c>
      <c r="E1" s="1" t="inlineStr">
        <is>
          <t>Runs 1</t>
        </is>
      </c>
      <c r="F1" s="1" t="inlineStr">
        <is>
          <t>Runs 2</t>
        </is>
      </c>
    </row>
    <row r="2">
      <c r="A2" t="inlineStr">
        <is>
          <t>M001</t>
        </is>
      </c>
      <c r="B2" t="inlineStr">
        <is>
          <t>MI</t>
        </is>
      </c>
      <c r="C2" t="inlineStr">
        <is>
          <t>CSK</t>
        </is>
      </c>
      <c r="D2" t="inlineStr">
        <is>
          <t>MI</t>
        </is>
      </c>
      <c r="E2" t="n">
        <v>198</v>
      </c>
      <c r="F2" t="n">
        <v>185</v>
      </c>
    </row>
    <row r="3">
      <c r="A3" t="inlineStr">
        <is>
          <t>M002</t>
        </is>
      </c>
      <c r="B3" t="inlineStr">
        <is>
          <t>RCB</t>
        </is>
      </c>
      <c r="C3" t="inlineStr">
        <is>
          <t>GT</t>
        </is>
      </c>
      <c r="D3" t="inlineStr">
        <is>
          <t>GT</t>
        </is>
      </c>
      <c r="E3" t="n">
        <v>172</v>
      </c>
      <c r="F3" t="n">
        <v>176</v>
      </c>
    </row>
    <row r="4">
      <c r="A4" t="inlineStr">
        <is>
          <t>M003</t>
        </is>
      </c>
      <c r="B4" t="inlineStr">
        <is>
          <t>MI</t>
        </is>
      </c>
      <c r="C4" t="inlineStr">
        <is>
          <t>KKR</t>
        </is>
      </c>
      <c r="D4" t="inlineStr">
        <is>
          <t>MI</t>
        </is>
      </c>
      <c r="E4" t="n">
        <v>201</v>
      </c>
      <c r="F4" t="n">
        <v>190</v>
      </c>
    </row>
    <row r="5">
      <c r="A5" t="inlineStr">
        <is>
          <t>M004</t>
        </is>
      </c>
      <c r="B5" t="inlineStr">
        <is>
          <t>CSK</t>
        </is>
      </c>
      <c r="C5" t="inlineStr">
        <is>
          <t>RR</t>
        </is>
      </c>
      <c r="D5" t="inlineStr">
        <is>
          <t>RR</t>
        </is>
      </c>
      <c r="E5" t="n">
        <v>165</v>
      </c>
      <c r="F5" t="n">
        <v>170</v>
      </c>
    </row>
    <row r="6">
      <c r="A6" t="inlineStr">
        <is>
          <t>M005</t>
        </is>
      </c>
      <c r="B6" t="inlineStr">
        <is>
          <t>RCB</t>
        </is>
      </c>
      <c r="C6" t="inlineStr">
        <is>
          <t>MI</t>
        </is>
      </c>
      <c r="D6" t="inlineStr">
        <is>
          <t>RCB</t>
        </is>
      </c>
      <c r="E6" t="n">
        <v>188</v>
      </c>
      <c r="F6" t="n">
        <v>182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8" customWidth="1" min="1" max="1"/>
    <col width="17" customWidth="1" min="2" max="2"/>
    <col width="15" customWidth="1" min="3" max="3"/>
  </cols>
  <sheetData>
    <row r="1">
      <c r="A1" s="1" t="inlineStr">
        <is>
          <t>Track</t>
        </is>
      </c>
      <c r="B1" s="1" t="inlineStr">
        <is>
          <t>Artist</t>
        </is>
      </c>
      <c r="C1" s="1" t="inlineStr">
        <is>
          <t>Album</t>
        </is>
      </c>
    </row>
    <row r="2">
      <c r="A2" t="inlineStr">
        <is>
          <t xml:space="preserve">  Believer  </t>
        </is>
      </c>
      <c r="B2" t="inlineStr">
        <is>
          <t>Imagine Dragons</t>
        </is>
      </c>
      <c r="C2" t="inlineStr">
        <is>
          <t xml:space="preserve">  Evolve</t>
        </is>
      </c>
    </row>
    <row r="3">
      <c r="A3" t="inlineStr">
        <is>
          <t>Shape of You</t>
        </is>
      </c>
      <c r="B3" t="inlineStr">
        <is>
          <t xml:space="preserve">  Ed Sheeran </t>
        </is>
      </c>
      <c r="C3" t="inlineStr">
        <is>
          <t>Divide</t>
        </is>
      </c>
    </row>
    <row r="4">
      <c r="A4" t="inlineStr">
        <is>
          <t xml:space="preserve">  Perfect</t>
        </is>
      </c>
      <c r="B4" t="inlineStr">
        <is>
          <t>Ed Sheeran</t>
        </is>
      </c>
      <c r="C4" t="inlineStr">
        <is>
          <t>Divide</t>
        </is>
      </c>
    </row>
    <row r="5">
      <c r="A5" t="inlineStr">
        <is>
          <t xml:space="preserve">Blinding Lights </t>
        </is>
      </c>
      <c r="B5" t="inlineStr">
        <is>
          <t>The Weeknd</t>
        </is>
      </c>
      <c r="C5" t="inlineStr">
        <is>
          <t xml:space="preserve"> After Hours </t>
        </is>
      </c>
    </row>
    <row r="6">
      <c r="A6" t="inlineStr">
        <is>
          <t>Believer</t>
        </is>
      </c>
      <c r="B6" t="inlineStr">
        <is>
          <t>Imagine Dragons</t>
        </is>
      </c>
      <c r="C6" t="inlineStr">
        <is>
          <t>Evolve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0" customWidth="1" min="1" max="1"/>
    <col width="12" customWidth="1" min="2" max="2"/>
    <col width="13" customWidth="1" min="3" max="3"/>
    <col width="13" customWidth="1" min="4" max="4"/>
    <col width="10" customWidth="1" min="5" max="5"/>
    <col width="10" customWidth="1" min="6" max="6"/>
  </cols>
  <sheetData>
    <row r="1">
      <c r="A1" s="1" t="inlineStr">
        <is>
          <t>Order ID</t>
        </is>
      </c>
      <c r="B1" s="1" t="inlineStr">
        <is>
          <t>Product</t>
        </is>
      </c>
      <c r="C1" s="1" t="inlineStr">
        <is>
          <t>Category</t>
        </is>
      </c>
      <c r="D1" s="1" t="inlineStr">
        <is>
          <t>City</t>
        </is>
      </c>
      <c r="E1" s="1" t="inlineStr">
        <is>
          <t>Sales</t>
        </is>
      </c>
      <c r="F1" s="1" t="inlineStr">
        <is>
          <t>Quantity</t>
        </is>
      </c>
      <c r="H1" t="inlineStr">
        <is>
          <t>Button task</t>
        </is>
      </c>
    </row>
    <row r="2">
      <c r="A2" t="inlineStr">
        <is>
          <t>FK001</t>
        </is>
      </c>
      <c r="B2" t="inlineStr">
        <is>
          <t>Headphones</t>
        </is>
      </c>
      <c r="C2" t="inlineStr">
        <is>
          <t>Electronics</t>
        </is>
      </c>
      <c r="D2" t="inlineStr">
        <is>
          <t>Ahmedabad</t>
        </is>
      </c>
      <c r="E2" t="n">
        <v>48908</v>
      </c>
      <c r="F2" t="n">
        <v>1</v>
      </c>
      <c r="H2" t="inlineStr">
        <is>
          <t>Insert Form Control Button &gt; Assign Refresh_All_Pivots</t>
        </is>
      </c>
    </row>
    <row r="3">
      <c r="A3" t="inlineStr">
        <is>
          <t>FK002</t>
        </is>
      </c>
      <c r="B3" t="inlineStr">
        <is>
          <t>Phone</t>
        </is>
      </c>
      <c r="C3" t="inlineStr">
        <is>
          <t>Electronics</t>
        </is>
      </c>
      <c r="D3" t="inlineStr">
        <is>
          <t>Gandhinagar</t>
        </is>
      </c>
      <c r="E3" t="n">
        <v>34313</v>
      </c>
      <c r="F3" t="n">
        <v>2</v>
      </c>
      <c r="H3" t="inlineStr">
        <is>
          <t>The VBA code is on 18_VBA_Code.</t>
        </is>
      </c>
    </row>
    <row r="4">
      <c r="A4" t="inlineStr">
        <is>
          <t>FK003</t>
        </is>
      </c>
      <c r="B4" t="inlineStr">
        <is>
          <t>Watch</t>
        </is>
      </c>
      <c r="C4" t="inlineStr">
        <is>
          <t>Electronics</t>
        </is>
      </c>
      <c r="D4" t="inlineStr">
        <is>
          <t>Ahmedabad</t>
        </is>
      </c>
      <c r="E4" t="n">
        <v>38313</v>
      </c>
      <c r="F4" t="n">
        <v>2</v>
      </c>
    </row>
    <row r="5">
      <c r="A5" t="inlineStr">
        <is>
          <t>FK004</t>
        </is>
      </c>
      <c r="B5" t="inlineStr">
        <is>
          <t>Headphones</t>
        </is>
      </c>
      <c r="C5" t="inlineStr">
        <is>
          <t>Fashion</t>
        </is>
      </c>
      <c r="D5" t="inlineStr">
        <is>
          <t>Surat</t>
        </is>
      </c>
      <c r="E5" t="n">
        <v>18168</v>
      </c>
      <c r="F5" t="n">
        <v>4</v>
      </c>
    </row>
    <row r="6">
      <c r="A6" t="inlineStr">
        <is>
          <t>FK005</t>
        </is>
      </c>
      <c r="B6" t="inlineStr">
        <is>
          <t>Headphones</t>
        </is>
      </c>
      <c r="C6" t="inlineStr">
        <is>
          <t>Electronics</t>
        </is>
      </c>
      <c r="D6" t="inlineStr">
        <is>
          <t>Gandhinagar</t>
        </is>
      </c>
      <c r="E6" t="n">
        <v>27263</v>
      </c>
      <c r="F6" t="n">
        <v>3</v>
      </c>
    </row>
    <row r="7">
      <c r="A7" t="inlineStr">
        <is>
          <t>FK006</t>
        </is>
      </c>
      <c r="B7" t="inlineStr">
        <is>
          <t>Shoes</t>
        </is>
      </c>
      <c r="C7" t="inlineStr">
        <is>
          <t>Electronics</t>
        </is>
      </c>
      <c r="D7" t="inlineStr">
        <is>
          <t>Vadodara</t>
        </is>
      </c>
      <c r="E7" t="n">
        <v>24021</v>
      </c>
      <c r="F7" t="n">
        <v>5</v>
      </c>
    </row>
    <row r="8">
      <c r="A8" t="inlineStr">
        <is>
          <t>FK007</t>
        </is>
      </c>
      <c r="B8" t="inlineStr">
        <is>
          <t>Shoes</t>
        </is>
      </c>
      <c r="C8" t="inlineStr">
        <is>
          <t>Fashion</t>
        </is>
      </c>
      <c r="D8" t="inlineStr">
        <is>
          <t>Surat</t>
        </is>
      </c>
      <c r="E8" t="n">
        <v>20881</v>
      </c>
      <c r="F8" t="n">
        <v>2</v>
      </c>
    </row>
    <row r="9">
      <c r="A9" t="inlineStr">
        <is>
          <t>FK008</t>
        </is>
      </c>
      <c r="B9" t="inlineStr">
        <is>
          <t>Phone</t>
        </is>
      </c>
      <c r="C9" t="inlineStr">
        <is>
          <t>Fashion</t>
        </is>
      </c>
      <c r="D9" t="inlineStr">
        <is>
          <t>Vadodara</t>
        </is>
      </c>
      <c r="E9" t="n">
        <v>44626</v>
      </c>
      <c r="F9" t="n">
        <v>1</v>
      </c>
    </row>
    <row r="10">
      <c r="A10" t="inlineStr">
        <is>
          <t>FK009</t>
        </is>
      </c>
      <c r="B10" t="inlineStr">
        <is>
          <t>Laptop</t>
        </is>
      </c>
      <c r="C10" t="inlineStr">
        <is>
          <t>Electronics</t>
        </is>
      </c>
      <c r="D10" t="inlineStr">
        <is>
          <t>Rajkot</t>
        </is>
      </c>
      <c r="E10" t="n">
        <v>23361</v>
      </c>
      <c r="F10" t="n">
        <v>5</v>
      </c>
    </row>
    <row r="11">
      <c r="A11" t="inlineStr">
        <is>
          <t>FK010</t>
        </is>
      </c>
      <c r="B11" t="inlineStr">
        <is>
          <t>Headphones</t>
        </is>
      </c>
      <c r="C11" t="inlineStr">
        <is>
          <t>Electronics</t>
        </is>
      </c>
      <c r="D11" t="inlineStr">
        <is>
          <t>Gandhinagar</t>
        </is>
      </c>
      <c r="E11" t="n">
        <v>31694</v>
      </c>
      <c r="F11" t="n">
        <v>2</v>
      </c>
    </row>
    <row r="12">
      <c r="A12" t="inlineStr">
        <is>
          <t>FK011</t>
        </is>
      </c>
      <c r="B12" t="inlineStr">
        <is>
          <t>Watch</t>
        </is>
      </c>
      <c r="C12" t="inlineStr">
        <is>
          <t>Fashion</t>
        </is>
      </c>
      <c r="D12" t="inlineStr">
        <is>
          <t>Surat</t>
        </is>
      </c>
      <c r="E12" t="n">
        <v>19664</v>
      </c>
      <c r="F12" t="n">
        <v>1</v>
      </c>
    </row>
    <row r="13">
      <c r="A13" t="inlineStr">
        <is>
          <t>FK012</t>
        </is>
      </c>
      <c r="B13" t="inlineStr">
        <is>
          <t>Laptop</t>
        </is>
      </c>
      <c r="C13" t="inlineStr">
        <is>
          <t>Electronics</t>
        </is>
      </c>
      <c r="D13" t="inlineStr">
        <is>
          <t>Ahmedabad</t>
        </is>
      </c>
      <c r="E13" t="n">
        <v>38229</v>
      </c>
      <c r="F13" t="n">
        <v>5</v>
      </c>
    </row>
    <row r="14">
      <c r="A14" t="inlineStr">
        <is>
          <t>FK013</t>
        </is>
      </c>
      <c r="B14" t="inlineStr">
        <is>
          <t>Watch</t>
        </is>
      </c>
      <c r="C14" t="inlineStr">
        <is>
          <t>Electronics</t>
        </is>
      </c>
      <c r="D14" t="inlineStr">
        <is>
          <t>Vadodara</t>
        </is>
      </c>
      <c r="E14" t="n">
        <v>6530</v>
      </c>
      <c r="F14" t="n">
        <v>1</v>
      </c>
    </row>
    <row r="15">
      <c r="A15" t="inlineStr">
        <is>
          <t>FK014</t>
        </is>
      </c>
      <c r="B15" t="inlineStr">
        <is>
          <t>Shoes</t>
        </is>
      </c>
      <c r="C15" t="inlineStr">
        <is>
          <t>Fashion</t>
        </is>
      </c>
      <c r="D15" t="inlineStr">
        <is>
          <t>Vadodara</t>
        </is>
      </c>
      <c r="E15" t="n">
        <v>27977</v>
      </c>
      <c r="F15" t="n">
        <v>1</v>
      </c>
    </row>
    <row r="16">
      <c r="A16" t="inlineStr">
        <is>
          <t>FK015</t>
        </is>
      </c>
      <c r="B16" t="inlineStr">
        <is>
          <t>Laptop</t>
        </is>
      </c>
      <c r="C16" t="inlineStr">
        <is>
          <t>Fashion</t>
        </is>
      </c>
      <c r="D16" t="inlineStr">
        <is>
          <t>Rajkot</t>
        </is>
      </c>
      <c r="E16" t="n">
        <v>20083</v>
      </c>
      <c r="F16" t="n">
        <v>5</v>
      </c>
    </row>
    <row r="17">
      <c r="A17" t="inlineStr">
        <is>
          <t>FK016</t>
        </is>
      </c>
      <c r="B17" t="inlineStr">
        <is>
          <t>Watch</t>
        </is>
      </c>
      <c r="C17" t="inlineStr">
        <is>
          <t>Electronics</t>
        </is>
      </c>
      <c r="D17" t="inlineStr">
        <is>
          <t>Vadodara</t>
        </is>
      </c>
      <c r="E17" t="n">
        <v>48429</v>
      </c>
      <c r="F17" t="n">
        <v>2</v>
      </c>
    </row>
    <row r="18">
      <c r="A18" t="inlineStr">
        <is>
          <t>FK017</t>
        </is>
      </c>
      <c r="B18" t="inlineStr">
        <is>
          <t>Headphones</t>
        </is>
      </c>
      <c r="C18" t="inlineStr">
        <is>
          <t>Electronics</t>
        </is>
      </c>
      <c r="D18" t="inlineStr">
        <is>
          <t>Rajkot</t>
        </is>
      </c>
      <c r="E18" t="n">
        <v>20195</v>
      </c>
      <c r="F18" t="n">
        <v>4</v>
      </c>
    </row>
    <row r="19">
      <c r="A19" t="inlineStr">
        <is>
          <t>FK018</t>
        </is>
      </c>
      <c r="B19" t="inlineStr">
        <is>
          <t>Phone</t>
        </is>
      </c>
      <c r="C19" t="inlineStr">
        <is>
          <t>Electronics</t>
        </is>
      </c>
      <c r="D19" t="inlineStr">
        <is>
          <t>Gandhinagar</t>
        </is>
      </c>
      <c r="E19" t="n">
        <v>35128</v>
      </c>
      <c r="F19" t="n">
        <v>4</v>
      </c>
    </row>
    <row r="20">
      <c r="A20" t="inlineStr">
        <is>
          <t>FK019</t>
        </is>
      </c>
      <c r="B20" t="inlineStr">
        <is>
          <t>Phone</t>
        </is>
      </c>
      <c r="C20" t="inlineStr">
        <is>
          <t>Fashion</t>
        </is>
      </c>
      <c r="D20" t="inlineStr">
        <is>
          <t>Vadodara</t>
        </is>
      </c>
      <c r="E20" t="n">
        <v>47392</v>
      </c>
      <c r="F20" t="n">
        <v>5</v>
      </c>
    </row>
    <row r="21">
      <c r="A21" t="inlineStr">
        <is>
          <t>FK020</t>
        </is>
      </c>
      <c r="B21" t="inlineStr">
        <is>
          <t>Laptop</t>
        </is>
      </c>
      <c r="C21" t="inlineStr">
        <is>
          <t>Electronics</t>
        </is>
      </c>
      <c r="D21" t="inlineStr">
        <is>
          <t>Surat</t>
        </is>
      </c>
      <c r="E21" t="n">
        <v>40005</v>
      </c>
      <c r="F21" t="n">
        <v>5</v>
      </c>
    </row>
    <row r="22">
      <c r="A22" t="inlineStr">
        <is>
          <t>FK021</t>
        </is>
      </c>
      <c r="B22" t="inlineStr">
        <is>
          <t>Laptop</t>
        </is>
      </c>
      <c r="C22" t="inlineStr">
        <is>
          <t>Fashion</t>
        </is>
      </c>
      <c r="D22" t="inlineStr">
        <is>
          <t>Ahmedabad</t>
        </is>
      </c>
      <c r="E22" t="n">
        <v>32382</v>
      </c>
      <c r="F22" t="n">
        <v>4</v>
      </c>
    </row>
    <row r="23">
      <c r="A23" t="inlineStr">
        <is>
          <t>FK022</t>
        </is>
      </c>
      <c r="B23" t="inlineStr">
        <is>
          <t>Phone</t>
        </is>
      </c>
      <c r="C23" t="inlineStr">
        <is>
          <t>Fashion</t>
        </is>
      </c>
      <c r="D23" t="inlineStr">
        <is>
          <t>Gandhinagar</t>
        </is>
      </c>
      <c r="E23" t="n">
        <v>46298</v>
      </c>
      <c r="F23" t="n">
        <v>4</v>
      </c>
    </row>
    <row r="24">
      <c r="A24" t="inlineStr">
        <is>
          <t>FK023</t>
        </is>
      </c>
      <c r="B24" t="inlineStr">
        <is>
          <t>Laptop</t>
        </is>
      </c>
      <c r="C24" t="inlineStr">
        <is>
          <t>Fashion</t>
        </is>
      </c>
      <c r="D24" t="inlineStr">
        <is>
          <t>Gandhinagar</t>
        </is>
      </c>
      <c r="E24" t="n">
        <v>8515</v>
      </c>
      <c r="F24" t="n">
        <v>2</v>
      </c>
    </row>
    <row r="25">
      <c r="A25" t="inlineStr">
        <is>
          <t>FK024</t>
        </is>
      </c>
      <c r="B25" t="inlineStr">
        <is>
          <t>Shoes</t>
        </is>
      </c>
      <c r="C25" t="inlineStr">
        <is>
          <t>Fashion</t>
        </is>
      </c>
      <c r="D25" t="inlineStr">
        <is>
          <t>Vadodara</t>
        </is>
      </c>
      <c r="E25" t="n">
        <v>35702</v>
      </c>
      <c r="F25" t="n">
        <v>4</v>
      </c>
    </row>
    <row r="26">
      <c r="A26" t="inlineStr">
        <is>
          <t>FK025</t>
        </is>
      </c>
      <c r="B26" t="inlineStr">
        <is>
          <t>Laptop</t>
        </is>
      </c>
      <c r="C26" t="inlineStr">
        <is>
          <t>Fashion</t>
        </is>
      </c>
      <c r="D26" t="inlineStr">
        <is>
          <t>Gandhinagar</t>
        </is>
      </c>
      <c r="E26" t="n">
        <v>35274</v>
      </c>
      <c r="F26" t="n">
        <v>2</v>
      </c>
    </row>
    <row r="27">
      <c r="A27" t="inlineStr">
        <is>
          <t>FK026</t>
        </is>
      </c>
      <c r="B27" t="inlineStr">
        <is>
          <t>Shoes</t>
        </is>
      </c>
      <c r="C27" t="inlineStr">
        <is>
          <t>Electronics</t>
        </is>
      </c>
      <c r="D27" t="inlineStr">
        <is>
          <t>Rajkot</t>
        </is>
      </c>
      <c r="E27" t="n">
        <v>8240</v>
      </c>
      <c r="F27" t="n">
        <v>4</v>
      </c>
    </row>
    <row r="28">
      <c r="A28" t="inlineStr">
        <is>
          <t>FK027</t>
        </is>
      </c>
      <c r="B28" t="inlineStr">
        <is>
          <t>Shoes</t>
        </is>
      </c>
      <c r="C28" t="inlineStr">
        <is>
          <t>Electronics</t>
        </is>
      </c>
      <c r="D28" t="inlineStr">
        <is>
          <t>Rajkot</t>
        </is>
      </c>
      <c r="E28" t="n">
        <v>32180</v>
      </c>
      <c r="F28" t="n">
        <v>5</v>
      </c>
    </row>
    <row r="29">
      <c r="A29" t="inlineStr">
        <is>
          <t>FK028</t>
        </is>
      </c>
      <c r="B29" t="inlineStr">
        <is>
          <t>Phone</t>
        </is>
      </c>
      <c r="C29" t="inlineStr">
        <is>
          <t>Fashion</t>
        </is>
      </c>
      <c r="D29" t="inlineStr">
        <is>
          <t>Rajkot</t>
        </is>
      </c>
      <c r="E29" t="n">
        <v>39370</v>
      </c>
      <c r="F29" t="n">
        <v>5</v>
      </c>
    </row>
    <row r="30">
      <c r="A30" t="inlineStr">
        <is>
          <t>FK029</t>
        </is>
      </c>
      <c r="B30" t="inlineStr">
        <is>
          <t>Phone</t>
        </is>
      </c>
      <c r="C30" t="inlineStr">
        <is>
          <t>Electronics</t>
        </is>
      </c>
      <c r="D30" t="inlineStr">
        <is>
          <t>Ahmedabad</t>
        </is>
      </c>
      <c r="E30" t="n">
        <v>42884</v>
      </c>
      <c r="F30" t="n">
        <v>2</v>
      </c>
    </row>
    <row r="31">
      <c r="A31" t="inlineStr">
        <is>
          <t>FK030</t>
        </is>
      </c>
      <c r="B31" t="inlineStr">
        <is>
          <t>Headphones</t>
        </is>
      </c>
      <c r="C31" t="inlineStr">
        <is>
          <t>Fashion</t>
        </is>
      </c>
      <c r="D31" t="inlineStr">
        <is>
          <t>Rajkot</t>
        </is>
      </c>
      <c r="E31" t="n">
        <v>10240</v>
      </c>
      <c r="F31" t="n">
        <v>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5" customWidth="1" min="1" max="1"/>
    <col width="35" customWidth="1" min="2" max="2"/>
  </cols>
  <sheetData>
    <row r="1">
      <c r="A1" t="inlineStr">
        <is>
          <t>ZOMATO SALES DASHBOARD</t>
        </is>
      </c>
    </row>
    <row r="3">
      <c r="A3" t="inlineStr">
        <is>
          <t>Use this sheet as the dashboard to export.</t>
        </is>
      </c>
    </row>
    <row r="5">
      <c r="A5" t="inlineStr">
        <is>
          <t>Required PDF filename:</t>
        </is>
      </c>
      <c r="B5" t="inlineStr">
        <is>
          <t>Zomato_Sales_Dashboard.pdf</t>
        </is>
      </c>
    </row>
    <row r="7">
      <c r="A7" t="inlineStr">
        <is>
          <t>VBA macro is provided in 18_VBA_Code.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35" customWidth="1" min="2" max="2"/>
  </cols>
  <sheetData>
    <row r="1">
      <c r="A1" s="1" t="inlineStr">
        <is>
          <t>Task</t>
        </is>
      </c>
      <c r="B1" s="1" t="inlineStr">
        <is>
          <t>Details</t>
        </is>
      </c>
    </row>
    <row r="2">
      <c r="A2" t="inlineStr">
        <is>
          <t>Refresh Power Query</t>
        </is>
      </c>
      <c r="B2" t="inlineStr">
        <is>
          <t>Use Data &gt; Refresh All or the provided VBA macro.</t>
        </is>
      </c>
    </row>
    <row r="3">
      <c r="A3" t="inlineStr">
        <is>
          <t>Success message</t>
        </is>
      </c>
      <c r="B3" t="inlineStr">
        <is>
          <t>Data refreshed successfully!</t>
        </is>
      </c>
    </row>
    <row r="4">
      <c r="A4" t="inlineStr">
        <is>
          <t>Note</t>
        </is>
      </c>
      <c r="B4" t="inlineStr">
        <is>
          <t>The macro attempts to refresh workbook connections and then shows the message.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0" customWidth="1" min="2" max="2"/>
  </cols>
  <sheetData>
    <row r="1">
      <c r="A1" s="1" t="inlineStr">
        <is>
          <t>Item</t>
        </is>
      </c>
      <c r="B1" s="1" t="inlineStr">
        <is>
          <t>Content</t>
        </is>
      </c>
    </row>
    <row r="2">
      <c r="A2" t="inlineStr">
        <is>
          <t>Prompt used with ChatGPT/Copilot</t>
        </is>
      </c>
      <c r="B2" s="2" t="inlineStr">
        <is>
          <t>Write a simple Excel VBA macro that refreshes all Power Query/workbook connections and then displays a message box saying "Data refreshed successfully!". Include basic error handling so the user receives a clear message if the refresh fails.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00" customWidth="1" min="2" max="2"/>
    <col width="30" customWidth="1" min="3" max="3"/>
  </cols>
  <sheetData>
    <row r="1">
      <c r="A1" s="1" t="inlineStr">
        <is>
          <t>Macro Name</t>
        </is>
      </c>
      <c r="B1" s="1" t="inlineStr">
        <is>
          <t>VBA Code</t>
        </is>
      </c>
      <c r="C1" s="1" t="inlineStr">
        <is>
          <t>Use For</t>
        </is>
      </c>
    </row>
    <row r="2">
      <c r="A2" t="inlineStr">
        <is>
          <t>WriteNameBold</t>
        </is>
      </c>
      <c r="B2" s="2" t="inlineStr">
        <is>
          <t>Sub WriteNameBold()
    With ActiveSheet.Range("A1")
        .Value = "Jagadish Prajapati"
        .Font.Bold = True
    End With
End Sub</t>
        </is>
      </c>
      <c r="C2" t="inlineStr">
        <is>
          <t>Basic recorded/manual macro task</t>
        </is>
      </c>
    </row>
    <row r="3">
      <c r="A3" t="inlineStr">
        <is>
          <t>FormatFoodOrders</t>
        </is>
      </c>
      <c r="B3" s="2" t="inlineStr">
        <is>
          <t>Sub FormatFoodOrders()
    With ActiveSheet.Range("A1:D11")
        .Borders.LineStyle = xlContinuous
    End With
    With ActiveSheet.Range("A1:D1")
        .Font.Bold = True
        .Interior.Color = RGB(31, 78, 121)
        .Font.Color = RGB(255, 255, 255)
    End With
    ActiveSheet.Columns("A:D").AutoFit
End Sub</t>
        </is>
      </c>
      <c r="C3" t="inlineStr">
        <is>
          <t>10-order formatting</t>
        </is>
      </c>
    </row>
    <row r="4">
      <c r="A4" t="inlineStr">
        <is>
          <t>CleanFollowers</t>
        </is>
      </c>
      <c r="B4" s="2" t="inlineStr">
        <is>
          <t>Sub CleanFollowers()
    Dim ws As Worksheet
    Dim lastRow As Long
    Set ws = ActiveSheet
    lastRow = ws.Cells(ws.Rows.Count, "A").End(xlUp).Row
    On Error Resume Next
    ws.Range("A2:A" &amp; lastRow).SpecialCells(xlCellTypeBlanks).EntireRow.Delete
    On Error GoTo 0
    lastRow = ws.Cells(ws.Rows.Count, "A").End(xlUp).Row
    ws.Range("A1:A" &amp; lastRow).Sort Key1:=ws.Range("A2"), Order1:=xlAscending, Header:=xlYes
End Sub</t>
        </is>
      </c>
      <c r="C4" t="inlineStr">
        <is>
          <t>Instagram followers task</t>
        </is>
      </c>
    </row>
    <row r="5">
      <c r="A5" t="inlineStr">
        <is>
          <t>HighlightAFollowers</t>
        </is>
      </c>
      <c r="B5" s="2" t="inlineStr">
        <is>
          <t>Sub HighlightAFollowers()
    Dim c As Range
    For Each c In ActiveSheet.Range("A2:A" &amp; ActiveSheet.Cells(Rows.Count, "A").End(xlUp).Row)
        If UCase(Left(Trim(c.Value), 1)) = "A" Then
            c.Interior.Color = RGB(255, 255, 0)
        End If
    Next c
End Sub</t>
        </is>
      </c>
      <c r="C5" t="inlineStr">
        <is>
          <t>Highlight names beginning with A</t>
        </is>
      </c>
    </row>
    <row r="6">
      <c r="A6" t="inlineStr">
        <is>
          <t>FormatIPL</t>
        </is>
      </c>
      <c r="B6" s="2" t="inlineStr">
        <is>
          <t>Sub FormatIPL()
    Dim ws As Worksheet
    Set ws = ActiveSheet
    With ws.Range("A1:F" &amp; ws.Cells(ws.Rows.Count, "A").End(xlUp).Row)
        .Borders.LineStyle = xlContinuous
    End With
    With ws.Range("A1:F1")
        .Font.Bold = True
        .Interior.Color = RGB(31, 78, 121)
        .Font.Color = RGB(255, 255, 255)
    End With
    ws.Columns("A:F").AutoFit
End Sub</t>
        </is>
      </c>
      <c r="C6" t="inlineStr">
        <is>
          <t>IPL formatting</t>
        </is>
      </c>
    </row>
    <row r="7">
      <c r="A7" t="inlineStr">
        <is>
          <t>CleanPlaylistData</t>
        </is>
      </c>
      <c r="B7" s="2" t="inlineStr">
        <is>
          <t>Sub CleanPlaylistData()
    Dim ws As Worksheet
    Dim lastRow As Long, lastCol As Long
    Set ws = ActiveSheet
    lastRow = ws.Cells(ws.Rows.Count, 1).End(xlUp).Row
    lastCol = ws.Cells(1, ws.Columns.Count).End(xlToLeft).Column
    Dim rng As Range, cell As Range
    Set rng = ws.Range(ws.Cells(2, 1), ws.Cells(lastRow, lastCol))
    For Each cell In rng
        If VarType(cell.Value) = vbString Then cell.Value = Application.WorksheetFunction.Trim(cell.Value)
    Next cell
    ws.Range(ws.Cells(1,1), ws.Cells(lastRow,lastCol)).RemoveDuplicates Columns:=Evaluate("ROW(1:" &amp; lastCol &amp; ")"), Header:=xlYes
End Sub</t>
        </is>
      </c>
      <c r="C7" t="inlineStr">
        <is>
          <t>Spotify playlist cleaning</t>
        </is>
      </c>
    </row>
    <row r="8">
      <c r="A8" t="inlineStr">
        <is>
          <t>Refresh_All_Pivots</t>
        </is>
      </c>
      <c r="B8" s="2" t="inlineStr">
        <is>
          <t>Sub Refresh_All_Pivots()
    ThisWorkbook.RefreshAll
    Dim ws As Worksheet, pt As PivotTable
    For Each ws In ThisWorkbook.Worksheets
        For Each pt In ws.PivotTables
            pt.RefreshTable
        Next pt
    Next ws
    MsgBox "PivotTables and dashboard data refreshed.", vbInformation
End Sub</t>
        </is>
      </c>
      <c r="C8" t="inlineStr">
        <is>
          <t>Flipkart dashboard button</t>
        </is>
      </c>
    </row>
    <row r="9">
      <c r="A9" t="inlineStr">
        <is>
          <t>Export_Zomato_PDF</t>
        </is>
      </c>
      <c r="B9" s="2" t="inlineStr">
        <is>
          <t>Sub Export_Zomato_PDF()
    Dim filePath As String
    Dim ws As Worksheet
    Set ws = ThisWorkbook.Worksheets("15_Zomato_PDF")
    filePath = Environ("USERPROFILE") &amp; "\Desktop\Zomato_Sales_Dashboard.pdf"
    On Error Resume Next
    ws.ExportAsFixedFormat Type:=xlTypePDF, Filename:=filePath, Quality:=xlQualityStandard, _
        IncludeDocProperties:=True, IgnorePrintAreas:=False, OpenAfterPublish:=False
    If Err.Number &lt;&gt; 0 Then
        MsgBox "PDF could not be saved: " &amp; Err.Description, vbExclamation
        Err.Clear
    Else
        MsgBox "PDF exported successfully to Desktop.", vbInformation
    End If
    On Error GoTo 0
End Sub</t>
        </is>
      </c>
      <c r="C9" t="inlineStr">
        <is>
          <t>Export dashboard as PDF</t>
        </is>
      </c>
    </row>
    <row r="10">
      <c r="A10" t="inlineStr">
        <is>
          <t>RefreshPowerQuery</t>
        </is>
      </c>
      <c r="B10" s="2" t="inlineStr">
        <is>
          <t>Sub RefreshPowerQuery()
    On Error GoTo ErrHandler
    ThisWorkbook.RefreshAll
    Application.CalculateUntilAsyncQueriesDone
    MsgBox "Data refreshed successfully!", vbInformation
    Exit Sub
ErrHandler:
    MsgBox "Data refresh failed: " &amp; Err.Description, vbExclamation
End Sub</t>
        </is>
      </c>
      <c r="C10" t="inlineStr">
        <is>
          <t>Power Query refresh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2026-10-01T08:49:42Z</dcterms:created>
  <dcterms:modified xmlns:dcterms="http://purl.org/dc/terms/" xmlns:xsi="http://www.w3.org/2001/XMLSchema-instance" xsi:type="dcterms:W3CDTF">2026-10-01T08:49:42Z</dcterms:modified>
</cp:coreProperties>
</file>