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41" documentId="8_{C6179B2C-32BB-48B2-853F-1FE4BF2B9165}" xr6:coauthVersionLast="47" xr6:coauthVersionMax="47" xr10:uidLastSave="{FE445CD8-E47B-44D7-95D5-BE40DFB6CDC4}"/>
  <bookViews>
    <workbookView xWindow="-108" yWindow="-108" windowWidth="23256" windowHeight="12456" activeTab="4" xr2:uid="{66F73E9B-6D8A-4483-8845-DA8747359321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5" l="1"/>
  <c r="K5" i="4"/>
  <c r="I7" i="2"/>
  <c r="J7" i="3"/>
  <c r="I5" i="1"/>
</calcChain>
</file>

<file path=xl/sharedStrings.xml><?xml version="1.0" encoding="utf-8"?>
<sst xmlns="http://schemas.openxmlformats.org/spreadsheetml/2006/main" count="109" uniqueCount="92">
  <si>
    <t>Prodect Id</t>
  </si>
  <si>
    <t>Product Name</t>
  </si>
  <si>
    <t>Category</t>
  </si>
  <si>
    <t>Price</t>
  </si>
  <si>
    <t>FK101</t>
  </si>
  <si>
    <t>FK102</t>
  </si>
  <si>
    <t>FK103</t>
  </si>
  <si>
    <t>FK104</t>
  </si>
  <si>
    <t>FK105</t>
  </si>
  <si>
    <t>FK106</t>
  </si>
  <si>
    <t>FK107</t>
  </si>
  <si>
    <t>IPHONE</t>
  </si>
  <si>
    <t>SAMSUNG</t>
  </si>
  <si>
    <t>AIRBURDS</t>
  </si>
  <si>
    <t>CLOTHES</t>
  </si>
  <si>
    <t>SHOES</t>
  </si>
  <si>
    <t>WATCH</t>
  </si>
  <si>
    <t>18 PRO MAX</t>
  </si>
  <si>
    <t>FOLD 8</t>
  </si>
  <si>
    <t>BOAT 05</t>
  </si>
  <si>
    <t>H.M</t>
  </si>
  <si>
    <t>ADIDAS</t>
  </si>
  <si>
    <t>I WATCH</t>
  </si>
  <si>
    <t>LAPTOP</t>
  </si>
  <si>
    <t>DELL</t>
  </si>
  <si>
    <t>Prodect Name</t>
  </si>
  <si>
    <t>Order ID</t>
  </si>
  <si>
    <t>Restaurant Name</t>
  </si>
  <si>
    <t>Order Date</t>
  </si>
  <si>
    <t>Amount</t>
  </si>
  <si>
    <t>Z001</t>
  </si>
  <si>
    <t>Pizza Hut</t>
  </si>
  <si>
    <t>Z002</t>
  </si>
  <si>
    <t>Domino's</t>
  </si>
  <si>
    <t>Z003</t>
  </si>
  <si>
    <t>Z004</t>
  </si>
  <si>
    <t>Subway</t>
  </si>
  <si>
    <t>Z005</t>
  </si>
  <si>
    <t xml:space="preserve">Restaurant name </t>
  </si>
  <si>
    <t>Playlist Name</t>
  </si>
  <si>
    <t>Genre</t>
  </si>
  <si>
    <t>Created By</t>
  </si>
  <si>
    <t>Number of Songs</t>
  </si>
  <si>
    <t>Chill Vibes</t>
  </si>
  <si>
    <t>Pop</t>
  </si>
  <si>
    <t>Dolly</t>
  </si>
  <si>
    <t>Rock Legends</t>
  </si>
  <si>
    <t>Rock</t>
  </si>
  <si>
    <t>Rahul</t>
  </si>
  <si>
    <t>Bollywood Hits</t>
  </si>
  <si>
    <t>Bollywood</t>
  </si>
  <si>
    <t>Priya</t>
  </si>
  <si>
    <t>Workout Beats</t>
  </si>
  <si>
    <t>EDM</t>
  </si>
  <si>
    <t>Amit</t>
  </si>
  <si>
    <t>Romantic Songs</t>
  </si>
  <si>
    <t>Romantic</t>
  </si>
  <si>
    <t>Neha</t>
  </si>
  <si>
    <t>Booking ID</t>
  </si>
  <si>
    <t>Passenger Name</t>
  </si>
  <si>
    <t>Train Number</t>
  </si>
  <si>
    <t>Status</t>
  </si>
  <si>
    <t>B101</t>
  </si>
  <si>
    <t>Confirmed</t>
  </si>
  <si>
    <t>B102</t>
  </si>
  <si>
    <t>Waiting</t>
  </si>
  <si>
    <t>B103</t>
  </si>
  <si>
    <t>B104</t>
  </si>
  <si>
    <t>Cancelled</t>
  </si>
  <si>
    <t>B105</t>
  </si>
  <si>
    <t>Prachi</t>
  </si>
  <si>
    <t>Kinjal</t>
  </si>
  <si>
    <t>Jainam</t>
  </si>
  <si>
    <t>Milan</t>
  </si>
  <si>
    <t>Abha</t>
  </si>
  <si>
    <t>Shreya</t>
  </si>
  <si>
    <t>B106</t>
  </si>
  <si>
    <t>B107</t>
  </si>
  <si>
    <t>T</t>
  </si>
  <si>
    <t>Product</t>
  </si>
  <si>
    <t>Delivery Date</t>
  </si>
  <si>
    <t>MY001</t>
  </si>
  <si>
    <t>T-Shirt</t>
  </si>
  <si>
    <t>MY002</t>
  </si>
  <si>
    <t>Shoes</t>
  </si>
  <si>
    <t>MY003</t>
  </si>
  <si>
    <t>Jeans</t>
  </si>
  <si>
    <t>MY004</t>
  </si>
  <si>
    <t>Jacket</t>
  </si>
  <si>
    <t>MY005</t>
  </si>
  <si>
    <t>Kurti</t>
  </si>
  <si>
    <t>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</si>
</sst>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2C0-0776-408A-989C-7468746B8804}">
  <dimension ref="C3:I11"/>
  <sheetViews>
    <sheetView workbookViewId="0">
      <selection activeCell="I5" sqref="I5"/>
    </sheetView>
  </sheetViews>
  <sheetFormatPr defaultRowHeight="14.4" x14ac:dyDescent="0.3"/>
  <cols>
    <col min="3" max="3" width="13.33203125" customWidth="1"/>
    <col min="4" max="4" width="14.77734375" customWidth="1"/>
    <col min="5" max="5" width="13" customWidth="1"/>
    <col min="6" max="6" width="14.88671875" customWidth="1"/>
    <col min="8" max="8" width="15.21875" customWidth="1"/>
    <col min="9" max="9" width="18.44140625" customWidth="1"/>
  </cols>
  <sheetData>
    <row r="3" spans="3:9" ht="15" thickBot="1" x14ac:dyDescent="0.35"/>
    <row r="4" spans="3:9" ht="18.600000000000001" thickBot="1" x14ac:dyDescent="0.4">
      <c r="C4" s="10" t="s">
        <v>0</v>
      </c>
      <c r="D4" s="11" t="s">
        <v>1</v>
      </c>
      <c r="E4" s="11" t="s">
        <v>2</v>
      </c>
      <c r="F4" s="12" t="s">
        <v>3</v>
      </c>
      <c r="H4" s="13" t="s">
        <v>0</v>
      </c>
      <c r="I4" s="13" t="s">
        <v>25</v>
      </c>
    </row>
    <row r="5" spans="3:9" x14ac:dyDescent="0.3">
      <c r="C5" s="7" t="s">
        <v>4</v>
      </c>
      <c r="D5" s="8" t="s">
        <v>11</v>
      </c>
      <c r="E5" s="8" t="s">
        <v>17</v>
      </c>
      <c r="F5" s="9">
        <v>180000</v>
      </c>
      <c r="H5" t="s">
        <v>8</v>
      </c>
      <c r="I5" t="str">
        <f>_xlfn.XLOOKUP(H5,C4:C11,D4:D11,,1)</f>
        <v>SHOES</v>
      </c>
    </row>
    <row r="6" spans="3:9" x14ac:dyDescent="0.3">
      <c r="C6" s="2" t="s">
        <v>5</v>
      </c>
      <c r="D6" s="1" t="s">
        <v>12</v>
      </c>
      <c r="E6" s="1" t="s">
        <v>18</v>
      </c>
      <c r="F6" s="3">
        <v>190000</v>
      </c>
    </row>
    <row r="7" spans="3:9" x14ac:dyDescent="0.3">
      <c r="C7" s="2" t="s">
        <v>6</v>
      </c>
      <c r="D7" s="1" t="s">
        <v>13</v>
      </c>
      <c r="E7" s="1" t="s">
        <v>19</v>
      </c>
      <c r="F7" s="3">
        <v>20000</v>
      </c>
    </row>
    <row r="8" spans="3:9" x14ac:dyDescent="0.3">
      <c r="C8" s="2" t="s">
        <v>7</v>
      </c>
      <c r="D8" s="1" t="s">
        <v>14</v>
      </c>
      <c r="E8" s="1" t="s">
        <v>20</v>
      </c>
      <c r="F8" s="3">
        <v>5900</v>
      </c>
    </row>
    <row r="9" spans="3:9" x14ac:dyDescent="0.3">
      <c r="C9" s="2" t="s">
        <v>8</v>
      </c>
      <c r="D9" s="1" t="s">
        <v>15</v>
      </c>
      <c r="E9" s="1" t="s">
        <v>21</v>
      </c>
      <c r="F9" s="3">
        <v>12500</v>
      </c>
    </row>
    <row r="10" spans="3:9" x14ac:dyDescent="0.3">
      <c r="C10" s="2" t="s">
        <v>9</v>
      </c>
      <c r="D10" s="1" t="s">
        <v>16</v>
      </c>
      <c r="E10" s="1" t="s">
        <v>22</v>
      </c>
      <c r="F10" s="3">
        <v>35600</v>
      </c>
    </row>
    <row r="11" spans="3:9" ht="15" thickBot="1" x14ac:dyDescent="0.35">
      <c r="C11" s="4" t="s">
        <v>10</v>
      </c>
      <c r="D11" s="5" t="s">
        <v>23</v>
      </c>
      <c r="E11" s="5" t="s">
        <v>24</v>
      </c>
      <c r="F11" s="6">
        <v>33300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98E3-CDBA-4AD8-923C-A7C9CBB9F527}">
  <dimension ref="C5:I11"/>
  <sheetViews>
    <sheetView workbookViewId="0">
      <selection activeCell="I7" sqref="I7"/>
    </sheetView>
  </sheetViews>
  <sheetFormatPr defaultRowHeight="14.4" x14ac:dyDescent="0.3"/>
  <cols>
    <col min="3" max="3" width="14.21875" customWidth="1"/>
    <col min="4" max="4" width="16.77734375" customWidth="1"/>
    <col min="5" max="5" width="13.77734375" customWidth="1"/>
    <col min="6" max="6" width="12.44140625" customWidth="1"/>
    <col min="8" max="8" width="14.5546875" customWidth="1"/>
  </cols>
  <sheetData>
    <row r="5" spans="3:9" ht="15" thickBot="1" x14ac:dyDescent="0.35"/>
    <row r="6" spans="3:9" ht="29.4" thickBot="1" x14ac:dyDescent="0.35">
      <c r="C6" s="28" t="s">
        <v>26</v>
      </c>
      <c r="D6" s="29" t="s">
        <v>27</v>
      </c>
      <c r="E6" s="29" t="s">
        <v>28</v>
      </c>
      <c r="F6" s="30" t="s">
        <v>29</v>
      </c>
      <c r="H6" s="14" t="s">
        <v>38</v>
      </c>
      <c r="I6" s="14" t="s">
        <v>29</v>
      </c>
    </row>
    <row r="7" spans="3:9" x14ac:dyDescent="0.3">
      <c r="C7" s="24" t="s">
        <v>30</v>
      </c>
      <c r="D7" s="25" t="s">
        <v>31</v>
      </c>
      <c r="E7" s="26">
        <v>46266</v>
      </c>
      <c r="F7" s="27">
        <v>450</v>
      </c>
      <c r="H7" t="s">
        <v>31</v>
      </c>
      <c r="I7">
        <f>_xlfn.XLOOKUP(H7,D7:D11,F7:F11,,-1,-1)</f>
        <v>650</v>
      </c>
    </row>
    <row r="8" spans="3:9" x14ac:dyDescent="0.3">
      <c r="C8" s="18" t="s">
        <v>32</v>
      </c>
      <c r="D8" s="16" t="s">
        <v>33</v>
      </c>
      <c r="E8" s="17">
        <v>46267</v>
      </c>
      <c r="F8" s="19">
        <v>600</v>
      </c>
    </row>
    <row r="9" spans="3:9" x14ac:dyDescent="0.3">
      <c r="C9" s="18" t="s">
        <v>34</v>
      </c>
      <c r="D9" s="16" t="s">
        <v>31</v>
      </c>
      <c r="E9" s="17">
        <v>46270</v>
      </c>
      <c r="F9" s="19">
        <v>520</v>
      </c>
    </row>
    <row r="10" spans="3:9" x14ac:dyDescent="0.3">
      <c r="C10" s="18" t="s">
        <v>35</v>
      </c>
      <c r="D10" s="16" t="s">
        <v>36</v>
      </c>
      <c r="E10" s="17">
        <v>46272</v>
      </c>
      <c r="F10" s="19">
        <v>300</v>
      </c>
    </row>
    <row r="11" spans="3:9" ht="15" thickBot="1" x14ac:dyDescent="0.35">
      <c r="C11" s="20" t="s">
        <v>37</v>
      </c>
      <c r="D11" s="21" t="s">
        <v>31</v>
      </c>
      <c r="E11" s="22">
        <v>46275</v>
      </c>
      <c r="F11" s="23">
        <v>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7A0C-C592-419E-AB29-CEF5D7A5DDB7}">
  <dimension ref="D5:J11"/>
  <sheetViews>
    <sheetView workbookViewId="0">
      <selection activeCell="D6" sqref="D6:G6"/>
    </sheetView>
  </sheetViews>
  <sheetFormatPr defaultRowHeight="14.4" x14ac:dyDescent="0.3"/>
  <cols>
    <col min="4" max="4" width="14.77734375" customWidth="1"/>
    <col min="5" max="5" width="12" customWidth="1"/>
    <col min="6" max="6" width="13" customWidth="1"/>
    <col min="7" max="7" width="17" customWidth="1"/>
    <col min="10" max="10" width="15.109375" customWidth="1"/>
  </cols>
  <sheetData>
    <row r="5" spans="4:10" ht="15" thickBot="1" x14ac:dyDescent="0.35"/>
    <row r="6" spans="4:10" ht="16.2" thickBot="1" x14ac:dyDescent="0.35">
      <c r="D6" s="41" t="s">
        <v>39</v>
      </c>
      <c r="E6" s="42" t="s">
        <v>40</v>
      </c>
      <c r="F6" s="42" t="s">
        <v>41</v>
      </c>
      <c r="G6" s="43" t="s">
        <v>42</v>
      </c>
    </row>
    <row r="7" spans="4:10" x14ac:dyDescent="0.3">
      <c r="D7" s="37" t="s">
        <v>43</v>
      </c>
      <c r="E7" s="38" t="s">
        <v>44</v>
      </c>
      <c r="F7" s="38" t="s">
        <v>45</v>
      </c>
      <c r="G7" s="39">
        <v>25</v>
      </c>
      <c r="I7" s="15" t="s">
        <v>53</v>
      </c>
      <c r="J7" t="str">
        <f>_xlfn.XLOOKUP(I7,E7:E11,D7:D11,"No playlist available")</f>
        <v>Workout Beats</v>
      </c>
    </row>
    <row r="8" spans="4:10" x14ac:dyDescent="0.3">
      <c r="D8" s="31" t="s">
        <v>46</v>
      </c>
      <c r="E8" s="32" t="s">
        <v>47</v>
      </c>
      <c r="F8" s="32" t="s">
        <v>48</v>
      </c>
      <c r="G8" s="33">
        <v>30</v>
      </c>
    </row>
    <row r="9" spans="4:10" x14ac:dyDescent="0.3">
      <c r="D9" s="31" t="s">
        <v>49</v>
      </c>
      <c r="E9" s="32" t="s">
        <v>50</v>
      </c>
      <c r="F9" s="32" t="s">
        <v>51</v>
      </c>
      <c r="G9" s="33">
        <v>40</v>
      </c>
    </row>
    <row r="10" spans="4:10" x14ac:dyDescent="0.3">
      <c r="D10" s="31" t="s">
        <v>52</v>
      </c>
      <c r="E10" s="32" t="s">
        <v>53</v>
      </c>
      <c r="F10" s="32" t="s">
        <v>54</v>
      </c>
      <c r="G10" s="33">
        <v>35</v>
      </c>
    </row>
    <row r="11" spans="4:10" ht="15" thickBot="1" x14ac:dyDescent="0.35">
      <c r="D11" s="34" t="s">
        <v>55</v>
      </c>
      <c r="E11" s="35" t="s">
        <v>56</v>
      </c>
      <c r="F11" s="35" t="s">
        <v>57</v>
      </c>
      <c r="G11" s="3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5E9D-D901-4984-BEBB-965F2E943ED9}">
  <dimension ref="E4:K12"/>
  <sheetViews>
    <sheetView workbookViewId="0">
      <selection activeCell="K6" sqref="K6"/>
    </sheetView>
  </sheetViews>
  <sheetFormatPr defaultRowHeight="14.4" x14ac:dyDescent="0.3"/>
  <cols>
    <col min="5" max="5" width="14.88671875" customWidth="1"/>
    <col min="6" max="6" width="17.44140625" customWidth="1"/>
    <col min="7" max="7" width="17.21875" customWidth="1"/>
    <col min="8" max="8" width="14" customWidth="1"/>
  </cols>
  <sheetData>
    <row r="4" spans="5:11" ht="15" thickBot="1" x14ac:dyDescent="0.35"/>
    <row r="5" spans="5:11" ht="15" thickBot="1" x14ac:dyDescent="0.35">
      <c r="E5" s="28" t="s">
        <v>58</v>
      </c>
      <c r="F5" s="29" t="s">
        <v>59</v>
      </c>
      <c r="G5" s="29" t="s">
        <v>60</v>
      </c>
      <c r="H5" s="40" t="s">
        <v>61</v>
      </c>
      <c r="J5" s="44" t="s">
        <v>69</v>
      </c>
      <c r="K5" t="str">
        <f>_xlfn.XLOOKUP(J5,E6:E12,H6:H12)</f>
        <v>Confirmed</v>
      </c>
    </row>
    <row r="6" spans="5:11" x14ac:dyDescent="0.3">
      <c r="E6" s="37" t="s">
        <v>62</v>
      </c>
      <c r="F6" s="38" t="s">
        <v>45</v>
      </c>
      <c r="G6" s="38">
        <v>13265</v>
      </c>
      <c r="H6" s="39" t="s">
        <v>63</v>
      </c>
    </row>
    <row r="7" spans="5:11" x14ac:dyDescent="0.3">
      <c r="E7" s="31" t="s">
        <v>64</v>
      </c>
      <c r="F7" s="32" t="s">
        <v>70</v>
      </c>
      <c r="G7" s="32">
        <v>13266</v>
      </c>
      <c r="H7" s="33" t="s">
        <v>65</v>
      </c>
    </row>
    <row r="8" spans="5:11" x14ac:dyDescent="0.3">
      <c r="E8" s="31" t="s">
        <v>66</v>
      </c>
      <c r="F8" s="32" t="s">
        <v>71</v>
      </c>
      <c r="G8" s="32">
        <v>13267</v>
      </c>
      <c r="H8" s="33" t="s">
        <v>63</v>
      </c>
    </row>
    <row r="9" spans="5:11" x14ac:dyDescent="0.3">
      <c r="E9" s="31" t="s">
        <v>67</v>
      </c>
      <c r="F9" s="32" t="s">
        <v>72</v>
      </c>
      <c r="G9" s="32">
        <v>13268</v>
      </c>
      <c r="H9" s="33" t="s">
        <v>68</v>
      </c>
    </row>
    <row r="10" spans="5:11" x14ac:dyDescent="0.3">
      <c r="E10" s="31" t="s">
        <v>69</v>
      </c>
      <c r="F10" s="32" t="s">
        <v>73</v>
      </c>
      <c r="G10" s="32">
        <v>13269</v>
      </c>
      <c r="H10" s="33" t="s">
        <v>63</v>
      </c>
    </row>
    <row r="11" spans="5:11" x14ac:dyDescent="0.3">
      <c r="E11" s="31" t="s">
        <v>76</v>
      </c>
      <c r="F11" s="32" t="s">
        <v>74</v>
      </c>
      <c r="G11" s="32">
        <v>13270</v>
      </c>
      <c r="H11" s="33" t="s">
        <v>65</v>
      </c>
    </row>
    <row r="12" spans="5:11" ht="15" thickBot="1" x14ac:dyDescent="0.35">
      <c r="E12" s="34" t="s">
        <v>77</v>
      </c>
      <c r="F12" s="35" t="s">
        <v>75</v>
      </c>
      <c r="G12" s="35">
        <v>13271</v>
      </c>
      <c r="H12" s="3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62C0-519C-469F-8678-B208EC8C22DA}">
  <dimension ref="A1:K12"/>
  <sheetViews>
    <sheetView tabSelected="1" workbookViewId="0">
      <selection activeCell="K8" sqref="K8"/>
    </sheetView>
  </sheetViews>
  <sheetFormatPr defaultRowHeight="14.4" x14ac:dyDescent="0.3"/>
  <cols>
    <col min="6" max="6" width="11.77734375" customWidth="1"/>
    <col min="7" max="7" width="13.21875" customWidth="1"/>
    <col min="8" max="8" width="15.109375" customWidth="1"/>
  </cols>
  <sheetData>
    <row r="1" spans="1:11" x14ac:dyDescent="0.3">
      <c r="A1" t="s">
        <v>78</v>
      </c>
    </row>
    <row r="5" spans="1:11" ht="15" thickBot="1" x14ac:dyDescent="0.35"/>
    <row r="6" spans="1:11" ht="15" thickBot="1" x14ac:dyDescent="0.35">
      <c r="E6" s="28" t="s">
        <v>26</v>
      </c>
      <c r="F6" s="29" t="s">
        <v>79</v>
      </c>
      <c r="G6" s="29" t="s">
        <v>28</v>
      </c>
      <c r="H6" s="40" t="s">
        <v>80</v>
      </c>
    </row>
    <row r="7" spans="1:11" x14ac:dyDescent="0.3">
      <c r="E7" s="37" t="s">
        <v>81</v>
      </c>
      <c r="F7" s="38" t="s">
        <v>82</v>
      </c>
      <c r="G7" s="45">
        <v>46285</v>
      </c>
      <c r="H7" s="46">
        <v>46289</v>
      </c>
      <c r="J7" t="s">
        <v>89</v>
      </c>
      <c r="K7">
        <f>_xlfn.XLOOKUP(J7,E7:E12,H7:H12)</f>
        <v>46293</v>
      </c>
    </row>
    <row r="8" spans="1:11" x14ac:dyDescent="0.3">
      <c r="E8" s="31" t="s">
        <v>83</v>
      </c>
      <c r="F8" s="32" t="s">
        <v>84</v>
      </c>
      <c r="G8" s="47">
        <v>46286</v>
      </c>
      <c r="H8" s="48">
        <v>46291</v>
      </c>
    </row>
    <row r="9" spans="1:11" x14ac:dyDescent="0.3">
      <c r="E9" s="31" t="s">
        <v>85</v>
      </c>
      <c r="F9" s="32" t="s">
        <v>86</v>
      </c>
      <c r="G9" s="47">
        <v>46287</v>
      </c>
      <c r="H9" s="48">
        <v>46292</v>
      </c>
    </row>
    <row r="10" spans="1:11" x14ac:dyDescent="0.3">
      <c r="E10" s="31" t="s">
        <v>87</v>
      </c>
      <c r="F10" s="32" t="s">
        <v>88</v>
      </c>
      <c r="G10" s="47">
        <v>46288</v>
      </c>
      <c r="H10" s="48">
        <v>46294</v>
      </c>
    </row>
    <row r="11" spans="1:11" x14ac:dyDescent="0.3">
      <c r="E11" s="31" t="s">
        <v>89</v>
      </c>
      <c r="F11" s="32" t="s">
        <v>90</v>
      </c>
      <c r="G11" s="47">
        <v>46289</v>
      </c>
      <c r="H11" s="48">
        <v>46293</v>
      </c>
    </row>
    <row r="12" spans="1:11" ht="15" thickBot="1" x14ac:dyDescent="0.35">
      <c r="E12" s="34" t="s">
        <v>89</v>
      </c>
      <c r="F12" s="35" t="s">
        <v>91</v>
      </c>
      <c r="G12" s="49">
        <v>46290</v>
      </c>
      <c r="H12" s="50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2026-09-23T08:45:33Z</dcterms:created>
  <dcterms:modified xsi:type="dcterms:W3CDTF">2026-09-24T04:23:31Z</dcterms:modified>
</cp:coreProperties>
</file>